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CA6D8F1636B4486CB64B7C2E5B174610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096000" y="5435600"/>
          <a:ext cx="14287500" cy="14268450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<sst xmlns="http://schemas.openxmlformats.org/spreadsheetml/2006/main" count="27" uniqueCount="27">
  <si>
    <t>入库清单</t>
  </si>
  <si>
    <t>箱单信息</t>
  </si>
  <si>
    <t>深圳地址新地址
超光速国际物流外库，新地址：  广东省东莞市凤岗镇五联村科研路9号
收件人（CZ3187） 18922869479</t>
  </si>
  <si>
    <t>客户代码:CZ3187</t>
  </si>
  <si>
    <t>运输方式:TIR卡航</t>
  </si>
  <si>
    <t>CZ3187-0608-17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</si>
  <si>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</si>
  <si>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</si>
  <si>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</si>
  <si>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</si>
  <si>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</si>
  <si>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</si>
  <si>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</si>
  <si>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</si>
  <si>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</si>
  <si>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38799-Y07U0001-A01
3K黑色拼图垫+8个彩盘
申购：PR2606080149</t>
  </si>
  <si>
    <t>CZ3187-0608-17-12</t>
  </si>
  <si>
    <t>3K黑色拼图垫</t>
  </si>
  <si>
    <t>毛毡</t>
  </si>
  <si>
    <t>CZ3187-0608-17-13</t>
  </si>
  <si>
    <t>CZ3187-0608-17-14</t>
  </si>
  <si>
    <t>CZ3187-0608-17-15</t>
  </si>
  <si>
    <t>CZ3187-0608-17-16</t>
  </si>
  <si>
    <t>CZ3187-0608-17-17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</si>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</sst>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Alignment="1">
      <alignment horizontal="center"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"/>
  <sheetViews>
    <sheetView tabSelected="1" workbookViewId="0">
      <selection activeCell="P15" sqref="P15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17.25" spans="1:19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20</v>
      </c>
      <c r="I8" s="9" t="str">
        <f>_xlfn.DISPIMG("ID_CA6D8F1636B4486CB64B7C2E5B174610",1)</f>
        <v>=DISPIMG("ID_CA6D8F1636B4486CB64B7C2E5B174610",1)</v>
      </c>
      <c r="J8" s="9">
        <v>99</v>
      </c>
      <c r="K8" s="9">
        <v>0.82</v>
      </c>
      <c r="L8" s="9" t="s">
        <v>17</v>
      </c>
      <c r="M8" s="9" t="s">
        <v>18</v>
      </c>
    </row>
    <row r="9" ht="17.25" spans="1:19">
      <c r="A9" s="9"/>
      <c r="B9" s="10"/>
      <c r="C9" s="10"/>
      <c r="D9" s="10"/>
      <c r="E9" s="11" t="s">
        <v>19</v>
      </c>
      <c r="F9" s="12"/>
      <c r="G9" s="12"/>
      <c r="H9" s="13">
        <v>20</v>
      </c>
      <c r="I9" s="9"/>
      <c r="J9" s="9"/>
      <c r="K9" s="9"/>
      <c r="L9" s="9"/>
      <c r="M9" s="9"/>
    </row>
    <row r="10" ht="17.25" spans="1:19">
      <c r="A10" s="9"/>
      <c r="B10" s="10"/>
      <c r="C10" s="10"/>
      <c r="D10" s="10"/>
      <c r="E10" s="11" t="s">
        <v>20</v>
      </c>
      <c r="F10" s="12"/>
      <c r="G10" s="12"/>
      <c r="H10" s="13">
        <v>20</v>
      </c>
      <c r="I10" s="9"/>
      <c r="J10" s="9"/>
      <c r="K10" s="9"/>
      <c r="L10" s="9"/>
      <c r="M10" s="9"/>
    </row>
    <row r="11" ht="17.25" spans="1:19">
      <c r="A11" s="9"/>
      <c r="B11" s="10"/>
      <c r="C11" s="10"/>
      <c r="D11" s="10"/>
      <c r="E11" s="11" t="s">
        <v>21</v>
      </c>
      <c r="F11" s="12"/>
      <c r="G11" s="12"/>
      <c r="H11" s="13">
        <v>20</v>
      </c>
      <c r="I11" s="9"/>
      <c r="J11" s="9"/>
      <c r="K11" s="9"/>
      <c r="L11" s="9"/>
      <c r="M11" s="9"/>
    </row>
    <row r="12" ht="17.25" spans="1:19">
      <c r="A12" s="9"/>
      <c r="B12" s="10"/>
      <c r="C12" s="10"/>
      <c r="D12" s="10"/>
      <c r="E12" s="11" t="s">
        <v>22</v>
      </c>
      <c r="F12" s="12"/>
      <c r="G12" s="12"/>
      <c r="H12" s="13">
        <v>20</v>
      </c>
      <c r="I12" s="9"/>
      <c r="J12" s="9"/>
      <c r="K12" s="9"/>
      <c r="L12" s="9"/>
      <c r="M12" s="9"/>
    </row>
    <row r="13" ht="17.25" spans="1:19">
      <c r="A13" s="9"/>
      <c r="B13" s="10"/>
      <c r="C13" s="10"/>
      <c r="D13" s="10"/>
      <c r="E13" s="11" t="s">
        <v>23</v>
      </c>
      <c r="F13" s="12"/>
      <c r="G13" s="12"/>
      <c r="H13" s="13">
        <v>20</v>
      </c>
      <c r="I13" s="9"/>
      <c r="J13" s="9"/>
      <c r="K13" s="9"/>
      <c r="L13" s="9"/>
      <c r="M13" s="9"/>
    </row>
    <row r="14" spans="1:19">
      <c r="I14"/>
    </row>
    <row r="17" ht="17.25" spans="10:12">
      <c r="J17" s="14" t="s">
        <v>24</v>
      </c>
      <c r="K17" s="14" t="s">
        <v>25</v>
      </c>
      <c r="L17" s="14" t="s">
        <v>26</v>
      </c>
    </row>
    <row r="18" spans="10:12">
      <c r="J18" s="1">
        <f>SUM(J8)</f>
        <v>99</v>
      </c>
      <c r="K18" s="1">
        <f>SUM(K8)</f>
        <v>0.82</v>
      </c>
      <c r="L18" s="15">
        <f>J18/K18</f>
        <v>120.731707317073</v>
      </c>
    </row>
  </sheetData>
  <mergeCells count="23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A8:A13"/>
    <mergeCell ref="I8:I13"/>
    <mergeCell ref="J8:J13"/>
    <mergeCell ref="K8:K13"/>
    <mergeCell ref="L8:L13"/>
    <mergeCell ref="M8:M13"/>
    <mergeCell ref="A2:E4"/>
    <mergeCell ref="I1:M6"/>
    <mergeCell ref="F3:H4"/>
    <mergeCell ref="B8:D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2026-06-09T07:03:51Z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