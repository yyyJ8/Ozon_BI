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0D6D1ABDD00E45B2BBD97FE1D85291C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29325" y="2346325"/>
          <a:ext cx="5762625" cy="56102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F758E465BD504F38AA2D92213F5DBA7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62675" y="3663950"/>
          <a:ext cx="5553075" cy="56102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9A85D8F9BE83478B98140A3D165250A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400800" y="4511675"/>
          <a:ext cx="5438775" cy="49244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<sst xmlns="http://schemas.openxmlformats.org/spreadsheetml/2006/main" count="38" uniqueCount="36">
  <si>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</si>
  <si>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</si>
  <si>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</si>
  <si>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</si>
  <si>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</si>
  <si>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CZ3187-0622-11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</si>
  <si>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</si>
  <si>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</si>
  <si>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</si>
  <si>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</si>
  <si>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</si>
  <si>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</si>
  <si>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</si>
  <si>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</si>
  <si>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</si>
  <si>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41634-Y07U0001-A01
6排冷凝器
申购：PR2606220088</t>
  </si>
  <si>
    <t>CZ3187-0622-11-1</t>
  </si>
  <si>
    <t>6排冷凝器</t>
  </si>
  <si>
    <t>金属</t>
  </si>
  <si>
    <t>CZ3187-0622-11-2</t>
  </si>
  <si>
    <t>CZ3187-0622-11-3</t>
  </si>
  <si>
    <t>CZ3187-0622-11-4</t>
  </si>
  <si>
    <t>41635-Y07U0001-A01
8排冷凝器
申购：PR2606220089</t>
  </si>
  <si>
    <t>CZ3187-0622-11-5</t>
  </si>
  <si>
    <t>8排冷凝器</t>
  </si>
  <si>
    <t>CZ3187-0622-11-6</t>
  </si>
  <si>
    <t>CZ3187-0622-11-7</t>
  </si>
  <si>
    <t>CZ3187-0622-11-8</t>
  </si>
  <si>
    <t>41636-Y07U0001-A01
10排冷凝器
申购：PR2606220090</t>
  </si>
  <si>
    <t>CZ3187-0622-11-9</t>
  </si>
  <si>
    <t>10排冷凝器</t>
  </si>
  <si>
    <t>CZ3187-0622-11-10</t>
  </si>
  <si>
    <t>CZ3187-0622-11-11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</si>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</sst>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R12" sqref="R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10</v>
      </c>
      <c r="I8" s="13" t="str">
        <f>_xlfn.DISPIMG("ID_0D6D1ABDD00E45B2BBD97FE1D85291C6",1)</f>
        <v>=DISPIMG("ID_0D6D1ABDD00E45B2BBD97FE1D85291C6",1)</v>
      </c>
      <c r="J8" s="13">
        <v>44.8</v>
      </c>
      <c r="K8" s="13">
        <v>0.32</v>
      </c>
      <c r="L8" s="13" t="s">
        <v>17</v>
      </c>
      <c r="M8" s="13" t="s">
        <v>18</v>
      </c>
      <c r="N8"/>
      <c r="O8" s="6"/>
      <c r="P8" s="6"/>
      <c r="Q8" s="6"/>
    </row>
    <row r="9" ht="23" customHeight="1" spans="1:19">
      <c r="A9" s="14"/>
      <c r="B9" s="10"/>
      <c r="C9" s="10"/>
      <c r="D9" s="10"/>
      <c r="E9" s="11" t="s">
        <v>19</v>
      </c>
      <c r="F9" s="11"/>
      <c r="G9" s="11"/>
      <c r="H9" s="12">
        <v>10</v>
      </c>
      <c r="I9" s="13"/>
      <c r="J9" s="13"/>
      <c r="K9" s="13"/>
      <c r="L9" s="13"/>
      <c r="M9" s="13"/>
      <c r="O9" s="6"/>
      <c r="P9" s="6"/>
      <c r="Q9" s="6"/>
    </row>
    <row r="10" ht="23" customHeight="1" spans="1:19">
      <c r="A10" s="14"/>
      <c r="B10" s="10"/>
      <c r="C10" s="10"/>
      <c r="D10" s="10"/>
      <c r="E10" s="11" t="s">
        <v>20</v>
      </c>
      <c r="F10" s="11"/>
      <c r="G10" s="11"/>
      <c r="H10" s="12">
        <v>10</v>
      </c>
      <c r="I10" s="13"/>
      <c r="J10" s="13"/>
      <c r="K10" s="13"/>
      <c r="L10" s="13"/>
      <c r="M10" s="13"/>
      <c r="O10" s="6"/>
      <c r="P10" s="6"/>
      <c r="Q10" s="6"/>
    </row>
    <row r="11" ht="23" customHeight="1" spans="1:19">
      <c r="A11" s="14"/>
      <c r="B11" s="10"/>
      <c r="C11" s="10"/>
      <c r="D11" s="10"/>
      <c r="E11" s="11" t="s">
        <v>21</v>
      </c>
      <c r="F11" s="11"/>
      <c r="G11" s="11"/>
      <c r="H11" s="12">
        <v>10</v>
      </c>
      <c r="I11" s="13"/>
      <c r="J11" s="13"/>
      <c r="K11" s="13"/>
      <c r="L11" s="13"/>
      <c r="M11" s="13"/>
      <c r="P11" s="6"/>
      <c r="Q11" s="6"/>
      <c r="S11"/>
    </row>
    <row r="12" ht="17.25" spans="1:19">
      <c r="A12" s="13">
        <v>2</v>
      </c>
      <c r="B12" s="10" t="s">
        <v>22</v>
      </c>
      <c r="C12" s="10"/>
      <c r="D12" s="10"/>
      <c r="E12" s="11" t="s">
        <v>23</v>
      </c>
      <c r="F12" s="11"/>
      <c r="G12" s="11"/>
      <c r="H12" s="12">
        <v>10</v>
      </c>
      <c r="I12" s="13" t="str">
        <f>_xlfn.DISPIMG("ID_F758E465BD504F38AA2D92213F5DBA72",1)</f>
        <v>=DISPIMG("ID_F758E465BD504F38AA2D92213F5DBA72",1)</v>
      </c>
      <c r="J12" s="13">
        <v>55.2</v>
      </c>
      <c r="K12" s="13">
        <v>0.3</v>
      </c>
      <c r="L12" s="13" t="s">
        <v>24</v>
      </c>
      <c r="M12" s="13" t="s">
        <v>18</v>
      </c>
      <c r="N12"/>
    </row>
    <row r="13" ht="17.25" spans="1:19">
      <c r="A13" s="13"/>
      <c r="B13" s="10"/>
      <c r="C13" s="10"/>
      <c r="D13" s="10"/>
      <c r="E13" s="11" t="s">
        <v>25</v>
      </c>
      <c r="F13" s="11"/>
      <c r="G13" s="11"/>
      <c r="H13" s="12">
        <v>10</v>
      </c>
      <c r="I13" s="13"/>
      <c r="J13" s="13"/>
      <c r="K13" s="13"/>
      <c r="L13" s="13"/>
      <c r="M13" s="13"/>
    </row>
    <row r="14" ht="17.25" spans="1:19">
      <c r="A14" s="13"/>
      <c r="B14" s="10"/>
      <c r="C14" s="10"/>
      <c r="D14" s="10"/>
      <c r="E14" s="11" t="s">
        <v>26</v>
      </c>
      <c r="F14" s="11"/>
      <c r="G14" s="11"/>
      <c r="H14" s="12">
        <v>10</v>
      </c>
      <c r="I14" s="13"/>
      <c r="J14" s="13"/>
      <c r="K14" s="13"/>
      <c r="L14" s="13"/>
      <c r="M14" s="13"/>
    </row>
    <row r="15" ht="17.25" spans="1:19">
      <c r="A15" s="13"/>
      <c r="B15" s="10"/>
      <c r="C15" s="10"/>
      <c r="D15" s="10"/>
      <c r="E15" s="11" t="s">
        <v>27</v>
      </c>
      <c r="F15" s="11"/>
      <c r="G15" s="11"/>
      <c r="H15" s="12">
        <v>10</v>
      </c>
      <c r="I15" s="13"/>
      <c r="J15" s="13"/>
      <c r="K15" s="13"/>
      <c r="L15" s="13"/>
      <c r="M15" s="13"/>
    </row>
    <row r="16" ht="23" customHeight="1" spans="1:19">
      <c r="A16" s="13">
        <v>3</v>
      </c>
      <c r="B16" s="10" t="s">
        <v>28</v>
      </c>
      <c r="C16" s="10"/>
      <c r="D16" s="10"/>
      <c r="E16" s="11" t="s">
        <v>29</v>
      </c>
      <c r="F16" s="11"/>
      <c r="G16" s="11"/>
      <c r="H16" s="12">
        <v>10</v>
      </c>
      <c r="I16" s="13" t="str">
        <f>_xlfn.DISPIMG("ID_9A85D8F9BE83478B98140A3D165250A6",1)</f>
        <v>=DISPIMG("ID_9A85D8F9BE83478B98140A3D165250A6",1)</v>
      </c>
      <c r="J16" s="13">
        <v>46.8</v>
      </c>
      <c r="K16" s="13">
        <v>0.29</v>
      </c>
      <c r="L16" s="13" t="s">
        <v>30</v>
      </c>
      <c r="M16" s="13" t="s">
        <v>18</v>
      </c>
    </row>
    <row r="17" ht="23" customHeight="1" spans="1:14">
      <c r="A17" s="13"/>
      <c r="B17" s="10"/>
      <c r="C17" s="10"/>
      <c r="D17" s="10"/>
      <c r="E17" s="11" t="s">
        <v>31</v>
      </c>
      <c r="F17" s="11"/>
      <c r="G17" s="11"/>
      <c r="H17" s="12">
        <v>10</v>
      </c>
      <c r="I17" s="13"/>
      <c r="J17" s="13"/>
      <c r="K17" s="13"/>
      <c r="L17" s="13"/>
      <c r="M17" s="13"/>
      <c r="N17"/>
    </row>
    <row r="18" ht="23" customHeight="1" spans="1:14">
      <c r="A18" s="13"/>
      <c r="B18" s="10"/>
      <c r="C18" s="10"/>
      <c r="D18" s="10"/>
      <c r="E18" s="11" t="s">
        <v>32</v>
      </c>
      <c r="F18" s="11"/>
      <c r="G18" s="11"/>
      <c r="H18" s="12">
        <v>10</v>
      </c>
      <c r="I18" s="13"/>
      <c r="J18" s="13"/>
      <c r="K18" s="13"/>
      <c r="L18" s="13"/>
      <c r="M18" s="13"/>
    </row>
    <row r="26" ht="17.25" spans="1:14">
      <c r="J26" s="15" t="s">
        <v>33</v>
      </c>
      <c r="K26" s="15" t="s">
        <v>34</v>
      </c>
      <c r="L26" s="15" t="s">
        <v>35</v>
      </c>
    </row>
    <row r="27" ht="17.25" spans="1:14">
      <c r="J27" s="15">
        <f>SUM(J8:J26)</f>
        <v>146.8</v>
      </c>
      <c r="K27" s="15">
        <f>SUM(K8:K26)</f>
        <v>0.91</v>
      </c>
      <c r="L27" s="16">
        <f>J27/K27</f>
        <v>161.318681318681</v>
      </c>
    </row>
  </sheetData>
  <mergeCells count="4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A8:A11"/>
    <mergeCell ref="A12:A15"/>
    <mergeCell ref="A16:A18"/>
    <mergeCell ref="I8:I11"/>
    <mergeCell ref="I12:I15"/>
    <mergeCell ref="I16:I18"/>
    <mergeCell ref="J8:J11"/>
    <mergeCell ref="J12:J15"/>
    <mergeCell ref="J16:J18"/>
    <mergeCell ref="K8:K11"/>
    <mergeCell ref="K12:K15"/>
    <mergeCell ref="K16:K18"/>
    <mergeCell ref="L8:L11"/>
    <mergeCell ref="L12:L15"/>
    <mergeCell ref="L16:L18"/>
    <mergeCell ref="M8:M11"/>
    <mergeCell ref="M12:M15"/>
    <mergeCell ref="M16:M18"/>
    <mergeCell ref="A2:E4"/>
    <mergeCell ref="I1:M6"/>
    <mergeCell ref="F3:H4"/>
    <mergeCell ref="B8:D11"/>
    <mergeCell ref="B12:D15"/>
    <mergeCell ref="B16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2026-06-22T02:39:09Z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