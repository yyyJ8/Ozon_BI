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C98993F8EE54B4199A126658303B0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543675" y="2422525"/>
          <a:ext cx="571500" cy="628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53C1E594ADBD4C6C989FA452D16384A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400800" y="4441825"/>
          <a:ext cx="571500" cy="6286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<sst xmlns="http://schemas.openxmlformats.org/spreadsheetml/2006/main" count="33" uniqueCount="32">
  <si>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</si>
  <si>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</si>
  <si>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</si>
  <si>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</si>
  <si>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</si>
  <si>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CZ3187-0707-19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</si>
  <si>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</si>
  <si>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</si>
  <si>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</si>
  <si>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</si>
  <si>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</si>
  <si>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</si>
  <si>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</si>
  <si>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</si>
  <si>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</si>
  <si>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41605-Y07U0002-OB01
双层头盔架
申购：PR2607070319</t>
  </si>
  <si>
    <t>CZ3187-0707-19-11</t>
  </si>
  <si>
    <t>双头盔架</t>
  </si>
  <si>
    <t>金属</t>
  </si>
  <si>
    <t>CZ3187-0707-19-12</t>
  </si>
  <si>
    <t>CZ3187-0707-19-13</t>
  </si>
  <si>
    <t>34595-Y07U0003-OB01
三层头盔架
申购：PR2607070320</t>
  </si>
  <si>
    <t>CZ3187-0707-19-14</t>
  </si>
  <si>
    <t>三层头盔架</t>
  </si>
  <si>
    <t>CZ3187-0707-19-15</t>
  </si>
  <si>
    <t>CZ3187-0707-19-16</t>
  </si>
  <si>
    <t>CZ3187-0707-19-17</t>
  </si>
  <si>
    <t>CZ3187-0707-19-18</t>
  </si>
  <si>
    <t>CZ3187-0707-19-19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</si>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</sst>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"/>
  <sheetViews>
    <sheetView tabSelected="1" workbookViewId="0">
      <selection activeCell="T4" sqref="T4"/>
    </sheetView>
  </sheetViews>
  <sheetFormatPr defaultColWidth="9" defaultRowHeight="16.5"/>
  <cols>
    <col min="1" max="4" width="10.625" style="1" customWidth="1"/>
    <col min="5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10</v>
      </c>
      <c r="I8" s="14" t="str">
        <f>_xlfn.DISPIMG("ID_3C98993F8EE54B4199A126658303B073",1)</f>
        <v>=DISPIMG("ID_3C98993F8EE54B4199A126658303B073",1)</v>
      </c>
      <c r="J8" s="15">
        <v>48</v>
      </c>
      <c r="K8" s="16">
        <v>0.18</v>
      </c>
      <c r="L8" s="17" t="s">
        <v>17</v>
      </c>
      <c r="M8" s="16" t="s">
        <v>18</v>
      </c>
      <c r="O8" s="6"/>
      <c r="P8" s="6"/>
      <c r="Q8" s="6"/>
    </row>
    <row r="9" ht="23" customHeight="1" spans="1:19">
      <c r="A9" s="18"/>
      <c r="B9" s="10"/>
      <c r="C9" s="10"/>
      <c r="D9" s="10"/>
      <c r="E9" s="11" t="s">
        <v>19</v>
      </c>
      <c r="F9" s="12"/>
      <c r="G9" s="12"/>
      <c r="H9" s="13">
        <v>10</v>
      </c>
      <c r="I9" s="14"/>
      <c r="J9" s="15"/>
      <c r="K9" s="16"/>
      <c r="L9" s="17"/>
      <c r="M9" s="16"/>
      <c r="O9" s="6"/>
      <c r="P9" s="6"/>
      <c r="Q9" s="6"/>
    </row>
    <row r="10" ht="23" customHeight="1" spans="1:19">
      <c r="A10" s="18"/>
      <c r="B10" s="10"/>
      <c r="C10" s="10"/>
      <c r="D10" s="10"/>
      <c r="E10" s="11" t="s">
        <v>20</v>
      </c>
      <c r="F10" s="12"/>
      <c r="G10" s="12"/>
      <c r="H10" s="13">
        <v>10</v>
      </c>
      <c r="I10" s="14"/>
      <c r="J10" s="15"/>
      <c r="K10" s="16"/>
      <c r="L10" s="17"/>
      <c r="M10" s="16"/>
      <c r="O10" s="6"/>
      <c r="P10" s="6"/>
      <c r="Q10" s="6"/>
    </row>
    <row r="11" ht="17.25" spans="1:19">
      <c r="A11" s="9">
        <v>2</v>
      </c>
      <c r="B11" s="10" t="s">
        <v>21</v>
      </c>
      <c r="C11" s="10"/>
      <c r="D11" s="10"/>
      <c r="E11" s="11" t="s">
        <v>22</v>
      </c>
      <c r="F11" s="12"/>
      <c r="G11" s="12"/>
      <c r="H11" s="13">
        <v>5</v>
      </c>
      <c r="I11" s="14" t="str">
        <f>_xlfn.DISPIMG("ID_53C1E594ADBD4C6C989FA452D16384A2",1)</f>
        <v>=DISPIMG("ID_53C1E594ADBD4C6C989FA452D16384A2",1)</v>
      </c>
      <c r="J11" s="15">
        <v>120</v>
      </c>
      <c r="K11" s="16">
        <v>0.49</v>
      </c>
      <c r="L11" s="17" t="s">
        <v>23</v>
      </c>
      <c r="M11" s="16" t="s">
        <v>18</v>
      </c>
    </row>
    <row r="12" ht="17.25" spans="1:19">
      <c r="A12" s="18"/>
      <c r="B12" s="10"/>
      <c r="C12" s="10"/>
      <c r="D12" s="10"/>
      <c r="E12" s="11" t="s">
        <v>24</v>
      </c>
      <c r="F12" s="12"/>
      <c r="G12" s="12"/>
      <c r="H12" s="13">
        <v>5</v>
      </c>
      <c r="I12" s="14"/>
      <c r="J12" s="15"/>
      <c r="K12" s="16"/>
      <c r="L12" s="17"/>
      <c r="M12" s="16"/>
    </row>
    <row r="13" ht="17.25" spans="1:19">
      <c r="A13" s="18"/>
      <c r="B13" s="10"/>
      <c r="C13" s="10"/>
      <c r="D13" s="10"/>
      <c r="E13" s="11" t="s">
        <v>25</v>
      </c>
      <c r="F13" s="12"/>
      <c r="G13" s="12"/>
      <c r="H13" s="13">
        <v>5</v>
      </c>
      <c r="I13" s="14"/>
      <c r="J13" s="15"/>
      <c r="K13" s="16"/>
      <c r="L13" s="17"/>
      <c r="M13" s="16"/>
    </row>
    <row r="14" ht="17.25" spans="1:19">
      <c r="A14" s="18"/>
      <c r="B14" s="10"/>
      <c r="C14" s="10"/>
      <c r="D14" s="10"/>
      <c r="E14" s="11" t="s">
        <v>26</v>
      </c>
      <c r="F14" s="12"/>
      <c r="G14" s="12"/>
      <c r="H14" s="13">
        <v>5</v>
      </c>
      <c r="I14" s="14"/>
      <c r="J14" s="15"/>
      <c r="K14" s="16"/>
      <c r="L14" s="17"/>
      <c r="M14" s="16"/>
    </row>
    <row r="15" ht="17.25" spans="1:19">
      <c r="A15" s="18"/>
      <c r="B15" s="10"/>
      <c r="C15" s="10"/>
      <c r="D15" s="10"/>
      <c r="E15" s="11" t="s">
        <v>27</v>
      </c>
      <c r="F15" s="12"/>
      <c r="G15" s="12"/>
      <c r="H15" s="13">
        <v>5</v>
      </c>
      <c r="I15" s="14"/>
      <c r="J15" s="15"/>
      <c r="K15" s="16"/>
      <c r="L15" s="17"/>
      <c r="M15" s="16"/>
    </row>
    <row r="16" ht="17.25" spans="1:19">
      <c r="A16" s="18"/>
      <c r="B16" s="10"/>
      <c r="C16" s="10"/>
      <c r="D16" s="10"/>
      <c r="E16" s="11" t="s">
        <v>28</v>
      </c>
      <c r="F16" s="12"/>
      <c r="G16" s="12"/>
      <c r="H16" s="13">
        <v>5</v>
      </c>
      <c r="I16" s="14"/>
      <c r="J16" s="15"/>
      <c r="K16" s="16"/>
      <c r="L16" s="17"/>
      <c r="M16" s="16"/>
    </row>
    <row r="17" spans="9:12">
      <c r="I17"/>
    </row>
    <row r="18" spans="9:12">
      <c r="I18"/>
    </row>
    <row r="20" ht="17.25" spans="9:12">
      <c r="J20" s="19" t="s">
        <v>29</v>
      </c>
      <c r="K20" s="19" t="s">
        <v>30</v>
      </c>
      <c r="L20" s="19" t="s">
        <v>31</v>
      </c>
    </row>
    <row r="21" ht="17.25" spans="9:12">
      <c r="J21" s="19">
        <f>SUM(J8:J20)</f>
        <v>168</v>
      </c>
      <c r="K21" s="19">
        <f>SUM(K8:K20)</f>
        <v>0.67</v>
      </c>
      <c r="L21" s="20">
        <f>J21/K21</f>
        <v>250.746268656716</v>
      </c>
    </row>
  </sheetData>
  <mergeCells count="33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A8:A10"/>
    <mergeCell ref="A11:A16"/>
    <mergeCell ref="I8:I10"/>
    <mergeCell ref="I11:I16"/>
    <mergeCell ref="J8:J10"/>
    <mergeCell ref="J11:J16"/>
    <mergeCell ref="K8:K10"/>
    <mergeCell ref="K11:K16"/>
    <mergeCell ref="L8:L10"/>
    <mergeCell ref="L11:L16"/>
    <mergeCell ref="M8:M10"/>
    <mergeCell ref="M11:M16"/>
    <mergeCell ref="A2:E4"/>
    <mergeCell ref="I1:M6"/>
    <mergeCell ref="F3:H4"/>
    <mergeCell ref="B8:D10"/>
    <mergeCell ref="B11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2026-07-10T01:03:47Z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