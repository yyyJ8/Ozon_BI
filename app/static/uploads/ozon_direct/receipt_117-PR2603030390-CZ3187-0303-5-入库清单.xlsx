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BF9557518C140A5B1C50F4A0FA69564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0" y="1746250"/>
          <a:ext cx="1524000" cy="1270000"/>
        </a:xfrm>
        <a:prstGeom prst="rect">
          <a:avLst/>
        </a:prstGeom>
      </xdr:spPr>
    </xdr:pic>
  </etc:cellImage>
  <etc:cellImage>
    <xdr:pic>
      <xdr:nvPicPr>
        <xdr:cNvPr id="6" name="ID_CE32A5C4C7B240F18377433B171D635B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0" y="3016250"/>
          <a:ext cx="1076325" cy="127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<sst xmlns="http://schemas.openxmlformats.org/spreadsheetml/2006/main" count="31" uniqueCount="29">
  <si>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</si>
  <si>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</si>
  <si>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</si>
  <si>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</si>
  <si>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</si>
  <si>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备注:5箱货</t>
  </si>
  <si>
    <t>CZ3187-0303-5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</si>
  <si>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</si>
  <si>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</si>
  <si>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</si>
  <si>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</si>
  <si>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</si>
  <si>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</si>
  <si>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</si>
  <si>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</si>
  <si>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</si>
  <si>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</si>
  <si>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33386-Y07U0001-B02
双层仓鼠笼子（617H黄色）</t>
  </si>
  <si>
    <t>CZ3187-0303-5/1</t>
  </si>
  <si>
    <t>双层仓鼠笼子（617H黄色）</t>
  </si>
  <si>
    <t>塑料</t>
  </si>
  <si>
    <t>CZ3187-0303-5/2</t>
  </si>
  <si>
    <t>CZ3187-0303-5/3</t>
  </si>
  <si>
    <t>37053-Y07U0001-B02
双层仓鼠笼子（617H黄色）</t>
  </si>
  <si>
    <t>CZ3187-0303-5/4</t>
  </si>
  <si>
    <t>CZ3187-0303-5/5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</si>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</sst>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H22" sqref="H22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1" customWidth="1"/>
    <col min="14" max="14" width="11.375"/>
  </cols>
  <sheetData>
    <row r="1" ht="25.5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7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7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7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7">
      <c r="A5" s="8" t="s">
        <v>5</v>
      </c>
      <c r="B5" s="9"/>
      <c r="C5" s="9"/>
      <c r="D5" s="9"/>
      <c r="E5" s="10"/>
      <c r="F5" s="8" t="s">
        <v>6</v>
      </c>
      <c r="G5" s="9"/>
      <c r="H5" s="9"/>
      <c r="I5" s="10"/>
      <c r="J5" s="11"/>
      <c r="K5" s="12"/>
      <c r="L5" s="12"/>
      <c r="M5" s="12"/>
      <c r="N5" s="13"/>
    </row>
    <row r="6" ht="16.5" spans="1:17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7">
      <c r="A7" s="32" t="s">
        <v>7</v>
      </c>
      <c r="B7" s="33" t="s">
        <v>8</v>
      </c>
      <c r="C7" s="33"/>
      <c r="D7" s="33"/>
      <c r="E7" s="33" t="s">
        <v>9</v>
      </c>
      <c r="F7" s="33"/>
      <c r="G7" s="33"/>
      <c r="H7" s="33" t="s">
        <v>10</v>
      </c>
      <c r="I7" s="33" t="s">
        <v>11</v>
      </c>
      <c r="J7" s="33" t="s">
        <v>12</v>
      </c>
      <c r="K7" s="33" t="s">
        <v>13</v>
      </c>
      <c r="L7" s="33" t="s">
        <v>14</v>
      </c>
      <c r="M7" s="33" t="s">
        <v>15</v>
      </c>
      <c r="N7" s="33" t="s">
        <v>16</v>
      </c>
      <c r="Q7" s="34"/>
    </row>
    <row r="8" ht="17.25" spans="1:17">
      <c r="A8" s="35">
        <v>1</v>
      </c>
      <c r="B8" s="36" t="s">
        <v>17</v>
      </c>
      <c r="C8" s="37"/>
      <c r="D8" s="38"/>
      <c r="E8" s="39" t="s">
        <v>18</v>
      </c>
      <c r="F8" s="39"/>
      <c r="G8" s="39"/>
      <c r="H8" s="39">
        <v>12</v>
      </c>
      <c r="I8" s="39"/>
      <c r="J8" s="40" t="str">
        <f>_xlfn.DISPIMG("ID_5BF9557518C140A5B1C50F4A0FA69564",1)</f>
        <v>=DISPIMG("ID_5BF9557518C140A5B1C50F4A0FA69564",1)</v>
      </c>
      <c r="K8" s="40">
        <v>61.5</v>
      </c>
      <c r="L8" s="40">
        <v>0.39</v>
      </c>
      <c r="M8" s="41" t="s">
        <v>19</v>
      </c>
      <c r="N8" s="40" t="s">
        <v>20</v>
      </c>
    </row>
    <row r="9" ht="17.25" spans="1:17">
      <c r="A9" s="42"/>
      <c r="B9" s="43"/>
      <c r="C9" s="44"/>
      <c r="D9" s="45"/>
      <c r="E9" s="39" t="s">
        <v>21</v>
      </c>
      <c r="F9" s="39"/>
      <c r="G9" s="39"/>
      <c r="H9" s="39">
        <v>12</v>
      </c>
      <c r="I9" s="39"/>
      <c r="J9" s="46"/>
      <c r="K9" s="46"/>
      <c r="L9" s="46"/>
      <c r="M9" s="47"/>
      <c r="N9" s="46"/>
    </row>
    <row r="10" ht="17.25" spans="1:17">
      <c r="A10" s="42"/>
      <c r="B10" s="43"/>
      <c r="C10" s="44"/>
      <c r="D10" s="45"/>
      <c r="E10" s="39" t="s">
        <v>22</v>
      </c>
      <c r="F10" s="39"/>
      <c r="G10" s="39"/>
      <c r="H10" s="39">
        <v>12</v>
      </c>
      <c r="I10" s="39"/>
      <c r="J10" s="46"/>
      <c r="K10" s="46"/>
      <c r="L10" s="46"/>
      <c r="M10" s="47"/>
      <c r="N10" s="46"/>
      <c r="Q10" s="48"/>
    </row>
    <row r="11" ht="27" customHeight="1" spans="1:17">
      <c r="A11" s="39">
        <v>2</v>
      </c>
      <c r="B11" s="49" t="s">
        <v>23</v>
      </c>
      <c r="C11" s="39"/>
      <c r="D11" s="39"/>
      <c r="E11" s="39" t="s">
        <v>24</v>
      </c>
      <c r="F11" s="39"/>
      <c r="G11" s="39"/>
      <c r="H11" s="39">
        <v>12</v>
      </c>
      <c r="I11" s="39"/>
      <c r="J11" s="50" t="str">
        <f>_xlfn.DISPIMG("ID_CE32A5C4C7B240F18377433B171D635B",1)</f>
        <v>=DISPIMG("ID_CE32A5C4C7B240F18377433B171D635B",1)</v>
      </c>
      <c r="K11" s="50">
        <v>41</v>
      </c>
      <c r="L11" s="50">
        <v>0.26</v>
      </c>
      <c r="M11" s="49" t="s">
        <v>19</v>
      </c>
      <c r="N11" s="50" t="s">
        <v>20</v>
      </c>
    </row>
    <row r="12" ht="31" customHeight="1" spans="1:17">
      <c r="A12" s="39"/>
      <c r="B12" s="39"/>
      <c r="C12" s="39"/>
      <c r="D12" s="39"/>
      <c r="E12" s="39" t="s">
        <v>25</v>
      </c>
      <c r="F12" s="39"/>
      <c r="G12" s="39"/>
      <c r="H12" s="39">
        <v>12</v>
      </c>
      <c r="I12" s="39"/>
      <c r="J12" s="50"/>
      <c r="K12" s="50"/>
      <c r="L12" s="50"/>
      <c r="M12" s="49"/>
      <c r="N12" s="50"/>
    </row>
    <row r="15" ht="18.75" spans="1:17">
      <c r="J15" s="51"/>
      <c r="K15" s="51"/>
      <c r="L15" s="51"/>
      <c r="M15" s="51"/>
      <c r="N15" s="51"/>
    </row>
    <row r="16" ht="18.75" spans="1:17">
      <c r="J16" s="51"/>
      <c r="K16" s="51" t="s">
        <v>26</v>
      </c>
      <c r="L16" s="51" t="s">
        <v>27</v>
      </c>
      <c r="M16" s="51" t="s">
        <v>28</v>
      </c>
      <c r="N16" s="51"/>
    </row>
    <row r="17" ht="18.75" spans="10:14">
      <c r="J17" s="51"/>
      <c r="K17" s="51">
        <f>SUM(K8:K13)</f>
        <v>102.5</v>
      </c>
      <c r="L17" s="51">
        <f>SUM(L8:L13)</f>
        <v>0.65</v>
      </c>
      <c r="M17" s="52">
        <f>K17/L17</f>
        <v>157.692307692308</v>
      </c>
      <c r="N17" s="51"/>
    </row>
    <row r="18" ht="18.75" spans="10:14">
      <c r="J18" s="51"/>
      <c r="K18" s="51"/>
      <c r="L18" s="51"/>
      <c r="M18" s="51"/>
      <c r="N18" s="51"/>
    </row>
    <row r="19" ht="18.75" spans="10:14">
      <c r="J19" s="51"/>
      <c r="K19" s="51"/>
      <c r="L19" s="51"/>
      <c r="M19" s="51"/>
      <c r="N19" s="51"/>
    </row>
  </sheetData>
  <mergeCells count="29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A8:A10"/>
    <mergeCell ref="A11:A12"/>
    <mergeCell ref="J8:J10"/>
    <mergeCell ref="J11:J12"/>
    <mergeCell ref="K8:K10"/>
    <mergeCell ref="K11:K12"/>
    <mergeCell ref="L8:L10"/>
    <mergeCell ref="L11:L12"/>
    <mergeCell ref="M8:M10"/>
    <mergeCell ref="M11:M12"/>
    <mergeCell ref="N8:N10"/>
    <mergeCell ref="N11:N12"/>
    <mergeCell ref="J1:N6"/>
    <mergeCell ref="A2:E4"/>
    <mergeCell ref="F3:I4"/>
    <mergeCell ref="B8:D10"/>
    <mergeCell ref="B11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2026-03-03T07:35:57Z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0292F42901304297BD829AA84F0B51E1_13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