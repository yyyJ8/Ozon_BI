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7" name="ID_92DF919C7CDC46FBB9899852CAC1AAA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19775" y="3060700"/>
          <a:ext cx="5095875" cy="5724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7A99A165E3964EA4BF7B8A24E871F51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19775" y="2184400"/>
          <a:ext cx="4933950" cy="5248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A0FF022A61AE4FC1A95B82051C522B8F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19775" y="4010025"/>
          <a:ext cx="6115050" cy="62103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<sst xmlns="http://schemas.openxmlformats.org/spreadsheetml/2006/main" count="35" uniqueCount="35">
  <si>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</si>
  <si>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</si>
  <si>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</si>
  <si>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</si>
  <si>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</si>
  <si>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CZ3187-0424-12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</si>
  <si>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</si>
  <si>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</si>
  <si>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</si>
  <si>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</si>
  <si>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</si>
  <si>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</si>
  <si>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</si>
  <si>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</si>
  <si>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</si>
  <si>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41604-Y07U0001-A01单头盔架</t>
  </si>
  <si>
    <t>CZ3187-0424-12/1</t>
  </si>
  <si>
    <t>头盔架</t>
  </si>
  <si>
    <t>铁木</t>
  </si>
  <si>
    <t>CZ3187-0424-12/2</t>
  </si>
  <si>
    <t>CZ3187-0424-12/3</t>
  </si>
  <si>
    <t>41605-Y07U0001-A01双头盔架</t>
  </si>
  <si>
    <t>CZ3187-0424-12/4</t>
  </si>
  <si>
    <t>CZ3187-0424-12/5</t>
  </si>
  <si>
    <t>CZ3187-0424-12/6</t>
  </si>
  <si>
    <t>CZ3187-0424-12/7</t>
  </si>
  <si>
    <t>34595-Y07U0002-A01三头盔架</t>
  </si>
  <si>
    <t>CZ3187-0424-12/8</t>
  </si>
  <si>
    <t>CZ3187-0424-12/9</t>
  </si>
  <si>
    <t>CZ3187-0424-12/10</t>
  </si>
  <si>
    <t>CZ3187-0424-12/11</t>
  </si>
  <si>
    <t>CZ3187-0424-12/12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</si>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</sst>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6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2" xfId="6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3"/>
  <sheetViews>
    <sheetView tabSelected="1" workbookViewId="0">
      <selection activeCell="R15" sqref="R15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R7" s="1"/>
      <c r="S7" s="9"/>
    </row>
    <row r="8" ht="23" customHeight="1" spans="1:20">
      <c r="A8" s="10">
        <v>1</v>
      </c>
      <c r="B8" s="11" t="s">
        <v>15</v>
      </c>
      <c r="C8" s="12"/>
      <c r="D8" s="13"/>
      <c r="E8" s="14" t="s">
        <v>16</v>
      </c>
      <c r="F8" s="14"/>
      <c r="G8" s="14"/>
      <c r="H8" s="15">
        <v>10</v>
      </c>
      <c r="I8" s="16" t="str">
        <f>_xlfn.DISPIMG("ID_7A99A165E3964EA4BF7B8A24E871F517",1)</f>
        <v>=DISPIMG("ID_7A99A165E3964EA4BF7B8A24E871F517",1)</v>
      </c>
      <c r="J8" s="17">
        <v>39</v>
      </c>
      <c r="K8" s="17">
        <v>0.15</v>
      </c>
      <c r="L8" s="10" t="s">
        <v>17</v>
      </c>
      <c r="M8" s="10" t="s">
        <v>18</v>
      </c>
      <c r="O8" s="6"/>
      <c r="P8" s="6"/>
      <c r="Q8" s="6"/>
    </row>
    <row r="9" ht="23" customHeight="1" spans="1:20">
      <c r="A9" s="18"/>
      <c r="B9" s="19"/>
      <c r="C9" s="20"/>
      <c r="D9" s="21"/>
      <c r="E9" s="14" t="s">
        <v>19</v>
      </c>
      <c r="F9" s="14"/>
      <c r="G9" s="14"/>
      <c r="H9" s="15">
        <v>10</v>
      </c>
      <c r="I9" s="18"/>
      <c r="J9" s="17"/>
      <c r="K9" s="17"/>
      <c r="L9" s="18"/>
      <c r="M9" s="18"/>
      <c r="O9" s="6"/>
      <c r="P9" s="9"/>
      <c r="Q9" s="9"/>
    </row>
    <row r="10" ht="23" customHeight="1" spans="1:20">
      <c r="A10" s="22"/>
      <c r="B10" s="23"/>
      <c r="C10" s="24"/>
      <c r="D10" s="25"/>
      <c r="E10" s="14" t="s">
        <v>20</v>
      </c>
      <c r="F10" s="14"/>
      <c r="G10" s="14"/>
      <c r="H10" s="15">
        <v>10</v>
      </c>
      <c r="I10" s="22"/>
      <c r="J10" s="17"/>
      <c r="K10" s="17"/>
      <c r="L10" s="18"/>
      <c r="M10" s="18"/>
      <c r="S10"/>
    </row>
    <row r="11" ht="23" customHeight="1" spans="1:20">
      <c r="A11" s="10">
        <v>2</v>
      </c>
      <c r="B11" s="11" t="s">
        <v>21</v>
      </c>
      <c r="C11" s="12"/>
      <c r="D11" s="13"/>
      <c r="E11" s="14" t="s">
        <v>22</v>
      </c>
      <c r="F11" s="14"/>
      <c r="G11" s="14"/>
      <c r="H11" s="15">
        <v>10</v>
      </c>
      <c r="I11" s="10" t="str">
        <f>_xlfn.DISPIMG("ID_92DF919C7CDC46FBB9899852CAC1AAAA",1)</f>
        <v>=DISPIMG("ID_92DF919C7CDC46FBB9899852CAC1AAAA",1)</v>
      </c>
      <c r="J11" s="17">
        <v>64</v>
      </c>
      <c r="K11" s="17">
        <v>0.23</v>
      </c>
      <c r="L11" s="18"/>
      <c r="M11" s="18"/>
      <c r="T11"/>
    </row>
    <row r="12" ht="17.25" spans="1:20">
      <c r="A12" s="18"/>
      <c r="B12" s="19"/>
      <c r="C12" s="20"/>
      <c r="D12" s="21"/>
      <c r="E12" s="14" t="s">
        <v>23</v>
      </c>
      <c r="F12" s="14"/>
      <c r="G12" s="14"/>
      <c r="H12" s="15">
        <v>10</v>
      </c>
      <c r="I12" s="18"/>
      <c r="J12" s="17"/>
      <c r="K12" s="17"/>
      <c r="L12" s="18"/>
      <c r="M12" s="18"/>
    </row>
    <row r="13" ht="17.25" spans="1:20">
      <c r="A13" s="18"/>
      <c r="B13" s="19"/>
      <c r="C13" s="20"/>
      <c r="D13" s="21"/>
      <c r="E13" s="14" t="s">
        <v>24</v>
      </c>
      <c r="F13" s="14"/>
      <c r="G13" s="14"/>
      <c r="H13" s="15">
        <v>10</v>
      </c>
      <c r="I13" s="18"/>
      <c r="J13" s="17"/>
      <c r="K13" s="17"/>
      <c r="L13" s="18"/>
      <c r="M13" s="18"/>
    </row>
    <row r="14" ht="17.25" spans="1:20">
      <c r="A14" s="22"/>
      <c r="B14" s="23"/>
      <c r="C14" s="24"/>
      <c r="D14" s="25"/>
      <c r="E14" s="14" t="s">
        <v>25</v>
      </c>
      <c r="F14" s="14"/>
      <c r="G14" s="14"/>
      <c r="H14" s="15">
        <v>10</v>
      </c>
      <c r="I14" s="22"/>
      <c r="J14" s="17"/>
      <c r="K14" s="17"/>
      <c r="L14" s="18"/>
      <c r="M14" s="18"/>
    </row>
    <row r="15" ht="25" customHeight="1" spans="1:20">
      <c r="A15" s="10">
        <v>3</v>
      </c>
      <c r="B15" s="11" t="s">
        <v>26</v>
      </c>
      <c r="C15" s="12"/>
      <c r="D15" s="13"/>
      <c r="E15" s="14" t="s">
        <v>27</v>
      </c>
      <c r="F15" s="14"/>
      <c r="G15" s="14"/>
      <c r="H15" s="15">
        <v>5</v>
      </c>
      <c r="I15" s="10" t="str">
        <f>_xlfn.DISPIMG("ID_A0FF022A61AE4FC1A95B82051C522B8F",1)</f>
        <v>=DISPIMG("ID_A0FF022A61AE4FC1A95B82051C522B8F",1)</v>
      </c>
      <c r="J15" s="17">
        <v>100</v>
      </c>
      <c r="K15" s="17">
        <v>0.41</v>
      </c>
      <c r="L15" s="18"/>
      <c r="M15" s="18"/>
    </row>
    <row r="16" ht="25" customHeight="1" spans="1:20">
      <c r="A16" s="18"/>
      <c r="B16" s="19"/>
      <c r="C16" s="20"/>
      <c r="D16" s="21"/>
      <c r="E16" s="14" t="s">
        <v>28</v>
      </c>
      <c r="F16" s="14"/>
      <c r="G16" s="14"/>
      <c r="H16" s="15">
        <v>5</v>
      </c>
      <c r="I16" s="18"/>
      <c r="J16" s="17"/>
      <c r="K16" s="17"/>
      <c r="L16" s="18"/>
      <c r="M16" s="18"/>
    </row>
    <row r="17" ht="25" customHeight="1" spans="1:13">
      <c r="A17" s="18"/>
      <c r="B17" s="19"/>
      <c r="C17" s="20"/>
      <c r="D17" s="21"/>
      <c r="E17" s="14" t="s">
        <v>29</v>
      </c>
      <c r="F17" s="14"/>
      <c r="G17" s="14"/>
      <c r="H17" s="15">
        <v>5</v>
      </c>
      <c r="I17" s="18"/>
      <c r="J17" s="17"/>
      <c r="K17" s="17"/>
      <c r="L17" s="18"/>
      <c r="M17" s="18"/>
    </row>
    <row r="18" ht="25" customHeight="1" spans="1:13">
      <c r="A18" s="18"/>
      <c r="B18" s="19"/>
      <c r="C18" s="20"/>
      <c r="D18" s="21"/>
      <c r="E18" s="14" t="s">
        <v>30</v>
      </c>
      <c r="F18" s="14"/>
      <c r="G18" s="14"/>
      <c r="H18" s="15">
        <v>5</v>
      </c>
      <c r="I18" s="18"/>
      <c r="J18" s="17"/>
      <c r="K18" s="17"/>
      <c r="L18" s="18"/>
      <c r="M18" s="18"/>
    </row>
    <row r="19" ht="25" customHeight="1" spans="1:13">
      <c r="A19" s="22"/>
      <c r="B19" s="23"/>
      <c r="C19" s="24"/>
      <c r="D19" s="25"/>
      <c r="E19" s="14" t="s">
        <v>31</v>
      </c>
      <c r="F19" s="14"/>
      <c r="G19" s="14"/>
      <c r="H19" s="15">
        <v>5</v>
      </c>
      <c r="I19" s="22"/>
      <c r="J19" s="17"/>
      <c r="K19" s="17"/>
      <c r="L19" s="22"/>
      <c r="M19" s="22"/>
    </row>
    <row r="20" ht="17.25" spans="1:13">
      <c r="E20" s="26"/>
      <c r="F20" s="26"/>
      <c r="G20" s="26"/>
    </row>
    <row r="21" ht="17.25" spans="1:13">
      <c r="E21" s="26"/>
      <c r="F21" s="26"/>
      <c r="G21" s="26"/>
    </row>
    <row r="22" ht="17.25" spans="1:13">
      <c r="E22" s="27"/>
      <c r="F22" s="27"/>
      <c r="G22" s="27"/>
      <c r="J22" s="28" t="s">
        <v>32</v>
      </c>
      <c r="K22" s="28" t="s">
        <v>33</v>
      </c>
      <c r="L22" s="28" t="s">
        <v>34</v>
      </c>
    </row>
    <row r="23" ht="17.25" spans="1:13">
      <c r="J23" s="28">
        <f>SUM(J8:J22)</f>
        <v>203</v>
      </c>
      <c r="K23" s="28">
        <f>SUM(K8:K22)</f>
        <v>0.79</v>
      </c>
      <c r="L23" s="29">
        <f>J23/K23</f>
        <v>256.962025316456</v>
      </c>
    </row>
  </sheetData>
  <mergeCells count="41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A8:A10"/>
    <mergeCell ref="A11:A14"/>
    <mergeCell ref="A15:A19"/>
    <mergeCell ref="I8:I10"/>
    <mergeCell ref="I11:I14"/>
    <mergeCell ref="I15:I19"/>
    <mergeCell ref="J8:J10"/>
    <mergeCell ref="J11:J14"/>
    <mergeCell ref="J15:J19"/>
    <mergeCell ref="K8:K10"/>
    <mergeCell ref="K11:K14"/>
    <mergeCell ref="K15:K19"/>
    <mergeCell ref="L8:L19"/>
    <mergeCell ref="M8:M19"/>
    <mergeCell ref="A2:E4"/>
    <mergeCell ref="I1:M6"/>
    <mergeCell ref="F3:H4"/>
    <mergeCell ref="B8:D10"/>
    <mergeCell ref="B11:D14"/>
    <mergeCell ref="B15:D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2026-04-24T07:06:31Z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C76A8AAD8DBE4E2CBD1BEC9A03471B68_13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