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4772C12AE9E469688B2D28D9D18D8A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96025" y="2355850"/>
          <a:ext cx="6305550" cy="6324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3DEED66761AB498FA0F816E5D4163D6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981700" y="4041775"/>
          <a:ext cx="5105400" cy="53816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<sst xmlns="http://schemas.openxmlformats.org/spreadsheetml/2006/main" count="33" uniqueCount="32">
  <si>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</si>
  <si>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</si>
  <si>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</si>
  <si>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</si>
  <si>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</si>
  <si>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CZ3187-0611-13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</si>
  <si>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</si>
  <si>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</si>
  <si>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</si>
  <si>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</si>
  <si>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</si>
  <si>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</si>
  <si>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</si>
  <si>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</si>
  <si>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</si>
  <si>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34595-Y07U0002-A01
三层头盔架
申购：PR2606110047</t>
  </si>
  <si>
    <t>CZ3187-0611-13-1</t>
  </si>
  <si>
    <t>三层头盔架</t>
  </si>
  <si>
    <t>金属</t>
  </si>
  <si>
    <t>CZ3187-0611-13-2</t>
  </si>
  <si>
    <t>CZ3187-0611-13-3</t>
  </si>
  <si>
    <t>CZ3187-0611-13-4</t>
  </si>
  <si>
    <t>CZ3187-0611-13-5</t>
  </si>
  <si>
    <t>CZ3187-0611-13-6</t>
  </si>
  <si>
    <t>41604-Y07U0001-A01
单头盔架
申购：PR2606110048</t>
  </si>
  <si>
    <t>CZ3187-0611-13-7</t>
  </si>
  <si>
    <t>单头盔架</t>
  </si>
  <si>
    <t>CZ3187-0611-13-8</t>
  </si>
  <si>
    <t>CZ3187-0611-13-9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</si>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</sst>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Q12" sqref="Q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5</v>
      </c>
      <c r="I8" s="14" t="str">
        <f>_xlfn.DISPIMG("ID_B4772C12AE9E469688B2D28D9D18D8AF",1)</f>
        <v>=DISPIMG("ID_B4772C12AE9E469688B2D28D9D18D8AF",1)</v>
      </c>
      <c r="J8" s="15">
        <v>120</v>
      </c>
      <c r="K8" s="15">
        <v>0.49</v>
      </c>
      <c r="L8" s="15" t="s">
        <v>17</v>
      </c>
      <c r="M8" s="15" t="s">
        <v>18</v>
      </c>
      <c r="N8"/>
      <c r="O8" s="6"/>
      <c r="P8" s="6"/>
      <c r="Q8" s="6"/>
    </row>
    <row r="9" ht="23" customHeight="1" spans="1:20">
      <c r="A9" s="16"/>
      <c r="B9" s="10"/>
      <c r="C9" s="10"/>
      <c r="D9" s="10"/>
      <c r="E9" s="11" t="s">
        <v>19</v>
      </c>
      <c r="F9" s="12"/>
      <c r="G9" s="12"/>
      <c r="H9" s="13">
        <v>5</v>
      </c>
      <c r="I9" s="14"/>
      <c r="J9" s="15"/>
      <c r="K9" s="15"/>
      <c r="L9" s="15"/>
      <c r="M9" s="15"/>
      <c r="O9" s="6"/>
      <c r="P9" s="6"/>
      <c r="Q9" s="6"/>
    </row>
    <row r="10" ht="23" customHeight="1" spans="1:20">
      <c r="A10" s="16"/>
      <c r="B10" s="10"/>
      <c r="C10" s="10"/>
      <c r="D10" s="10"/>
      <c r="E10" s="11" t="s">
        <v>20</v>
      </c>
      <c r="F10" s="12"/>
      <c r="G10" s="12"/>
      <c r="H10" s="13">
        <v>5</v>
      </c>
      <c r="I10" s="14"/>
      <c r="J10" s="15"/>
      <c r="K10" s="15"/>
      <c r="L10" s="15"/>
      <c r="M10" s="15"/>
      <c r="O10" s="6"/>
      <c r="P10" s="6"/>
      <c r="Q10" s="6"/>
    </row>
    <row r="11" ht="23" customHeight="1" spans="1:20">
      <c r="A11" s="16"/>
      <c r="B11" s="10"/>
      <c r="C11" s="10"/>
      <c r="D11" s="10"/>
      <c r="E11" s="11" t="s">
        <v>21</v>
      </c>
      <c r="F11" s="12"/>
      <c r="G11" s="12"/>
      <c r="H11" s="13">
        <v>5</v>
      </c>
      <c r="I11" s="14"/>
      <c r="J11" s="15"/>
      <c r="K11" s="15"/>
      <c r="L11" s="15"/>
      <c r="M11" s="15"/>
      <c r="P11" s="6"/>
      <c r="Q11" s="6"/>
      <c r="S11"/>
    </row>
    <row r="12" ht="23" customHeight="1" spans="1:20">
      <c r="A12" s="16"/>
      <c r="B12" s="10"/>
      <c r="C12" s="10"/>
      <c r="D12" s="10"/>
      <c r="E12" s="11" t="s">
        <v>22</v>
      </c>
      <c r="F12" s="12"/>
      <c r="G12" s="12"/>
      <c r="H12" s="13">
        <v>5</v>
      </c>
      <c r="I12" s="14"/>
      <c r="J12" s="15"/>
      <c r="K12" s="15"/>
      <c r="L12" s="15"/>
      <c r="M12" s="15"/>
      <c r="P12" s="6"/>
      <c r="Q12" s="6"/>
      <c r="T12"/>
    </row>
    <row r="13" ht="17.25" spans="1:20">
      <c r="A13" s="16"/>
      <c r="B13" s="10"/>
      <c r="C13" s="10"/>
      <c r="D13" s="10"/>
      <c r="E13" s="11" t="s">
        <v>23</v>
      </c>
      <c r="F13" s="12"/>
      <c r="G13" s="12"/>
      <c r="H13" s="13">
        <v>5</v>
      </c>
      <c r="I13" s="14"/>
      <c r="J13" s="15"/>
      <c r="K13" s="15"/>
      <c r="L13" s="15"/>
      <c r="M13" s="15"/>
      <c r="O13"/>
      <c r="P13" s="6"/>
      <c r="Q13" s="6"/>
    </row>
    <row r="14" ht="46" customHeight="1" spans="1:20">
      <c r="A14" s="17">
        <v>2</v>
      </c>
      <c r="B14" s="10" t="s">
        <v>24</v>
      </c>
      <c r="C14" s="10"/>
      <c r="D14" s="10"/>
      <c r="E14" s="11" t="s">
        <v>25</v>
      </c>
      <c r="F14" s="12"/>
      <c r="G14" s="12"/>
      <c r="H14" s="13">
        <v>10</v>
      </c>
      <c r="I14" s="17" t="str">
        <f>_xlfn.DISPIMG("ID_3DEED66761AB498FA0F816E5D4163D63",1)</f>
        <v>=DISPIMG("ID_3DEED66761AB498FA0F816E5D4163D63",1)</v>
      </c>
      <c r="J14" s="17">
        <v>39</v>
      </c>
      <c r="K14" s="17">
        <v>0.15</v>
      </c>
      <c r="L14" s="17" t="s">
        <v>26</v>
      </c>
      <c r="M14" s="17" t="s">
        <v>18</v>
      </c>
    </row>
    <row r="15" ht="46" customHeight="1" spans="1:20">
      <c r="A15" s="17"/>
      <c r="B15" s="10"/>
      <c r="C15" s="10"/>
      <c r="D15" s="10"/>
      <c r="E15" s="11" t="s">
        <v>27</v>
      </c>
      <c r="F15" s="12"/>
      <c r="G15" s="12"/>
      <c r="H15" s="13">
        <v>10</v>
      </c>
      <c r="I15" s="17"/>
      <c r="J15" s="17"/>
      <c r="K15" s="17"/>
      <c r="L15" s="17"/>
      <c r="M15" s="17"/>
    </row>
    <row r="16" ht="46" customHeight="1" spans="1:20">
      <c r="A16" s="17"/>
      <c r="B16" s="10"/>
      <c r="C16" s="10"/>
      <c r="D16" s="10"/>
      <c r="E16" s="11" t="s">
        <v>28</v>
      </c>
      <c r="F16" s="12"/>
      <c r="G16" s="12"/>
      <c r="H16" s="13">
        <v>10</v>
      </c>
      <c r="I16" s="17"/>
      <c r="J16" s="17"/>
      <c r="K16" s="17"/>
      <c r="L16" s="17"/>
      <c r="M16" s="17"/>
    </row>
    <row r="17" spans="9:12">
      <c r="I17"/>
    </row>
    <row r="20" ht="17.25" spans="9:12">
      <c r="J20" s="18" t="s">
        <v>29</v>
      </c>
      <c r="K20" s="18" t="s">
        <v>30</v>
      </c>
      <c r="L20" s="18" t="s">
        <v>31</v>
      </c>
    </row>
    <row r="21" ht="17.25" spans="9:12">
      <c r="J21" s="18">
        <f>SUM(J8:J20)</f>
        <v>159</v>
      </c>
      <c r="K21" s="18">
        <f>SUM(K8:K20)</f>
        <v>0.64</v>
      </c>
      <c r="L21" s="19">
        <f>J21/K21</f>
        <v>248.4375</v>
      </c>
    </row>
  </sheetData>
  <mergeCells count="3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13"/>
    <mergeCell ref="A14:A16"/>
    <mergeCell ref="I8:I13"/>
    <mergeCell ref="I14:I16"/>
    <mergeCell ref="J8:J13"/>
    <mergeCell ref="J14:J16"/>
    <mergeCell ref="K8:K13"/>
    <mergeCell ref="K14:K16"/>
    <mergeCell ref="L8:L13"/>
    <mergeCell ref="L14:L16"/>
    <mergeCell ref="M8:M13"/>
    <mergeCell ref="M14:M16"/>
    <mergeCell ref="A2:E4"/>
    <mergeCell ref="I1:M6"/>
    <mergeCell ref="F3:H4"/>
    <mergeCell ref="B8:D13"/>
    <mergeCell ref="B14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2026-06-11T01:55:42Z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