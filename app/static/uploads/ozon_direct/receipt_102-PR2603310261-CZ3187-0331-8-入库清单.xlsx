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03528DFBED544A22B1693104C8F2BE6D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200775" y="2203450"/>
          <a:ext cx="6448425" cy="6419850"/>
        </a:xfrm>
        <a:prstGeom prst="rect">
          <a:avLst/>
        </a:prstGeom>
        <a:noFill/>
        <a:ln>
          <a:noFill/>
        </a:ln>
      </xdr:spPr>
    </xdr:pic>
  </etc:cellImage>
  <etc:cellImage>
    <xdr:pic>
      <xdr:nvPicPr>
        <xdr:cNvPr id="4" name="ID_6335FFFCEAFF4839A9FDB7BAAEDBE89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115050" y="4279900"/>
          <a:ext cx="7191375" cy="7419975"/>
        </a:xfrm>
        <a:prstGeom prst="rect">
          <a:avLst/>
        </a:prstGeom>
        <a:noFill/>
        <a:ln>
          <a:noFill/>
        </a:ln>
      </xdr:spPr>
    </xdr:pic>
  </etc:cellImage>
</etc:cellImages>
</file>

<file path=xl/sharedStrings.xml><?xml version="1.0" encoding="utf-8"?>
<sst xmlns="http://schemas.openxmlformats.org/spreadsheetml/2006/main" count="31" uniqueCount="31">
  <si>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</si>
  <si>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</si>
  <si>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</si>
  <si>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</si>
  <si>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</si>
  <si>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CZ3187-0331-8</t>
  </si>
  <si>
    <t>序号</t>
  </si>
  <si>
    <t>产品信息</t>
  </si>
  <si>
    <t>外箱箱唛</t>
  </si>
  <si>
    <t>预期数量</t>
  </si>
  <si>
    <t>图片</t>
  </si>
  <si>
    <t>重量</t>
  </si>
  <si>
    <t>体积</t>
  </si>
  <si>
    <t>产品名</t>
  </si>
  <si>
    <t>材质</t>
  </si>
  <si>
    <t>41090-Y07U0001-A01
桌面置物架</t>
  </si>
  <si>
    <t>CZ3187-0331-8/1</t>
  </si>
  <si>
    <t>桌面置物架</t>
  </si>
  <si>
    <t>金属</t>
  </si>
  <si>
    <t>CZ3187-0331-8/2</t>
  </si>
  <si>
    <t>CZ3187-0331-8/3</t>
  </si>
  <si>
    <t>CZ3187-0331-8/4</t>
  </si>
  <si>
    <t>28374-Y07U0009-B03
桌面置物架带收纳</t>
  </si>
  <si>
    <t>CZ3187-0331-8/5</t>
  </si>
  <si>
    <t>桌面置物架带收纳</t>
  </si>
  <si>
    <t>CZ3187-0331-8/6</t>
  </si>
  <si>
    <t>CZ3187-0331-8/7</t>
  </si>
  <si>
    <t>CZ3187-0331-8/8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</si>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</sst>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1"/>
      <color indexed="8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2.png"/><Relationship Id="rId2" Type="http://schemas.openxmlformats.org/officeDocument/2006/relationships/image" Target="NULL" TargetMode="External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"/>
  <sheetViews>
    <sheetView tabSelected="1" workbookViewId="0">
      <selection activeCell="Q10" sqref="Q10"/>
    </sheetView>
  </sheetViews>
  <sheetFormatPr defaultColWidth="9" defaultRowHeight="16.5"/>
  <cols>
    <col min="1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7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7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6"/>
      <c r="K2" s="6"/>
      <c r="L2" s="6"/>
      <c r="M2" s="3"/>
    </row>
    <row r="3" ht="25" customHeight="1" spans="1:17">
      <c r="A3" s="4"/>
      <c r="B3" s="7"/>
      <c r="C3" s="7"/>
      <c r="D3" s="7"/>
      <c r="E3" s="4"/>
      <c r="F3" s="5" t="s">
        <v>4</v>
      </c>
      <c r="G3" s="5"/>
      <c r="H3" s="5"/>
      <c r="I3" s="3"/>
      <c r="J3" s="6"/>
      <c r="K3" s="6"/>
      <c r="L3" s="6"/>
      <c r="M3" s="3"/>
    </row>
    <row r="4" ht="38" customHeight="1" spans="1:17">
      <c r="A4" s="4"/>
      <c r="B4" s="4"/>
      <c r="C4" s="4"/>
      <c r="D4" s="4"/>
      <c r="E4" s="4"/>
      <c r="F4" s="5"/>
      <c r="G4" s="5"/>
      <c r="H4" s="5"/>
      <c r="I4" s="3"/>
      <c r="J4" s="6"/>
      <c r="K4" s="6"/>
      <c r="L4" s="6"/>
      <c r="M4" s="3"/>
    </row>
    <row r="5" ht="17.25" spans="1:17">
      <c r="A5" s="5"/>
      <c r="B5" s="5"/>
      <c r="C5" s="5"/>
      <c r="D5" s="5"/>
      <c r="E5" s="5"/>
      <c r="F5" s="5" t="s">
        <v>5</v>
      </c>
      <c r="G5" s="5"/>
      <c r="H5" s="5"/>
      <c r="I5" s="3"/>
      <c r="J5" s="6"/>
      <c r="K5" s="6"/>
      <c r="L5" s="6"/>
      <c r="M5" s="3"/>
    </row>
    <row r="6" spans="1:17">
      <c r="A6" s="8"/>
      <c r="B6" s="8"/>
      <c r="C6" s="8"/>
      <c r="D6" s="8"/>
      <c r="E6" s="8"/>
      <c r="F6" s="8"/>
      <c r="G6" s="8"/>
      <c r="H6" s="8"/>
      <c r="I6" s="3"/>
      <c r="J6" s="3"/>
      <c r="K6" s="3"/>
      <c r="L6" s="3"/>
      <c r="M6" s="3"/>
    </row>
    <row r="7" ht="21" spans="1:17">
      <c r="A7" s="9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P7" s="10"/>
    </row>
    <row r="8" ht="23" customHeight="1" spans="1:17">
      <c r="A8" s="11">
        <v>1</v>
      </c>
      <c r="B8" s="12" t="s">
        <v>15</v>
      </c>
      <c r="C8" s="12"/>
      <c r="D8" s="12"/>
      <c r="E8" s="13" t="s">
        <v>16</v>
      </c>
      <c r="F8" s="13"/>
      <c r="G8" s="13"/>
      <c r="H8" s="14">
        <v>6</v>
      </c>
      <c r="I8" s="11" t="str">
        <f>_xlfn.DISPIMG("ID_03528DFBED544A22B1693104C8F2BE6D",1)</f>
        <v>=DISPIMG("ID_03528DFBED544A22B1693104C8F2BE6D",1)</v>
      </c>
      <c r="J8" s="11">
        <v>41.2</v>
      </c>
      <c r="K8" s="11">
        <v>0.23</v>
      </c>
      <c r="L8" s="12" t="s">
        <v>17</v>
      </c>
      <c r="M8" s="11" t="s">
        <v>18</v>
      </c>
      <c r="P8" s="15"/>
      <c r="Q8" s="10"/>
    </row>
    <row r="9" ht="23" customHeight="1" spans="1:17">
      <c r="A9" s="11"/>
      <c r="B9" s="12"/>
      <c r="C9" s="12"/>
      <c r="D9" s="12"/>
      <c r="E9" s="13" t="s">
        <v>19</v>
      </c>
      <c r="F9" s="13"/>
      <c r="G9" s="13"/>
      <c r="H9" s="14">
        <v>6</v>
      </c>
      <c r="I9" s="11"/>
      <c r="J9" s="11"/>
      <c r="K9" s="11"/>
      <c r="L9" s="12"/>
      <c r="M9" s="11"/>
      <c r="P9" s="15"/>
      <c r="Q9" s="10"/>
    </row>
    <row r="10" ht="23" customHeight="1" spans="1:17">
      <c r="A10" s="11"/>
      <c r="B10" s="12"/>
      <c r="C10" s="12"/>
      <c r="D10" s="12"/>
      <c r="E10" s="13" t="s">
        <v>20</v>
      </c>
      <c r="F10" s="13"/>
      <c r="G10" s="13"/>
      <c r="H10" s="14">
        <v>6</v>
      </c>
      <c r="I10" s="11"/>
      <c r="J10" s="11"/>
      <c r="K10" s="11"/>
      <c r="L10" s="12"/>
      <c r="M10" s="11"/>
      <c r="P10" s="10"/>
      <c r="Q10" s="10"/>
    </row>
    <row r="11" ht="23" customHeight="1" spans="1:17">
      <c r="A11" s="11"/>
      <c r="B11" s="12"/>
      <c r="C11" s="12"/>
      <c r="D11" s="12"/>
      <c r="E11" s="13" t="s">
        <v>21</v>
      </c>
      <c r="F11" s="13"/>
      <c r="G11" s="13"/>
      <c r="H11" s="14">
        <v>6</v>
      </c>
      <c r="I11" s="11"/>
      <c r="J11" s="11"/>
      <c r="K11" s="11"/>
      <c r="L11" s="12"/>
      <c r="M11" s="11"/>
    </row>
    <row r="12" ht="23" customHeight="1" spans="1:17">
      <c r="A12" s="16">
        <v>2</v>
      </c>
      <c r="B12" s="12" t="s">
        <v>22</v>
      </c>
      <c r="C12" s="12"/>
      <c r="D12" s="12"/>
      <c r="E12" s="13" t="s">
        <v>23</v>
      </c>
      <c r="F12" s="13"/>
      <c r="G12" s="13"/>
      <c r="H12" s="14">
        <v>6</v>
      </c>
      <c r="I12" s="11" t="str">
        <f>_xlfn.DISPIMG("ID_6335FFFCEAFF4839A9FDB7BAAEDBE898",1)</f>
        <v>=DISPIMG("ID_6335FFFCEAFF4839A9FDB7BAAEDBE898",1)</v>
      </c>
      <c r="J12" s="11">
        <v>53.2</v>
      </c>
      <c r="K12" s="11">
        <v>0.23</v>
      </c>
      <c r="L12" s="12" t="s">
        <v>24</v>
      </c>
      <c r="M12" s="11"/>
    </row>
    <row r="13" ht="23" customHeight="1" spans="1:17">
      <c r="A13" s="16"/>
      <c r="B13" s="12"/>
      <c r="C13" s="12"/>
      <c r="D13" s="12"/>
      <c r="E13" s="13" t="s">
        <v>25</v>
      </c>
      <c r="F13" s="13"/>
      <c r="G13" s="13"/>
      <c r="H13" s="14">
        <v>6</v>
      </c>
      <c r="I13" s="11"/>
      <c r="J13" s="11"/>
      <c r="K13" s="11"/>
      <c r="L13" s="12"/>
      <c r="M13" s="11"/>
    </row>
    <row r="14" ht="23" customHeight="1" spans="1:17">
      <c r="A14" s="16"/>
      <c r="B14" s="12"/>
      <c r="C14" s="12"/>
      <c r="D14" s="12"/>
      <c r="E14" s="13" t="s">
        <v>26</v>
      </c>
      <c r="F14" s="13"/>
      <c r="G14" s="13"/>
      <c r="H14" s="14">
        <v>6</v>
      </c>
      <c r="I14" s="11"/>
      <c r="J14" s="11"/>
      <c r="K14" s="11"/>
      <c r="L14" s="12"/>
      <c r="M14" s="11"/>
    </row>
    <row r="15" ht="23" customHeight="1" spans="1:17">
      <c r="A15" s="16"/>
      <c r="B15" s="12"/>
      <c r="C15" s="12"/>
      <c r="D15" s="12"/>
      <c r="E15" s="13" t="s">
        <v>27</v>
      </c>
      <c r="F15" s="13"/>
      <c r="G15" s="13"/>
      <c r="H15" s="14">
        <v>6</v>
      </c>
      <c r="I15" s="11"/>
      <c r="J15" s="11"/>
      <c r="K15" s="11"/>
      <c r="L15" s="12"/>
      <c r="M15" s="11"/>
    </row>
    <row r="19" ht="17.25" spans="10:12">
      <c r="J19" s="17" t="s">
        <v>28</v>
      </c>
      <c r="K19" s="17" t="s">
        <v>29</v>
      </c>
      <c r="L19" s="17" t="s">
        <v>30</v>
      </c>
    </row>
    <row r="20" ht="17.25" spans="10:12">
      <c r="J20" s="17">
        <f>SUM(J8:J19)</f>
        <v>94.4</v>
      </c>
      <c r="K20" s="17">
        <f>SUM(K8:K19)</f>
        <v>0.46</v>
      </c>
      <c r="L20" s="18">
        <f>J20/K20</f>
        <v>205.217391304348</v>
      </c>
    </row>
  </sheetData>
  <mergeCells count="31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A8:A11"/>
    <mergeCell ref="A12:A15"/>
    <mergeCell ref="I8:I11"/>
    <mergeCell ref="I12:I15"/>
    <mergeCell ref="J8:J11"/>
    <mergeCell ref="J12:J15"/>
    <mergeCell ref="K8:K11"/>
    <mergeCell ref="K12:K15"/>
    <mergeCell ref="L8:L11"/>
    <mergeCell ref="L12:L15"/>
    <mergeCell ref="M8:M15"/>
    <mergeCell ref="A2:E4"/>
    <mergeCell ref="I1:M6"/>
    <mergeCell ref="F3:H4"/>
    <mergeCell ref="B8:D11"/>
    <mergeCell ref="B12:D1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2026-03-31T06:16:59Z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D9DBC3C2AD844D6D8CC9ABC2F913A49F_13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