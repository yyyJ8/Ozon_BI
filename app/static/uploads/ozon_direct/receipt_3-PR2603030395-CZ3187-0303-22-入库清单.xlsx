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826879C70A614CC289FA84F2738233F2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0" y="16986250"/>
          <a:ext cx="1352550" cy="1270000"/>
        </a:xfrm>
        <a:prstGeom prst="rect">
          <a:avLst/>
        </a:prstGeom>
      </xdr:spPr>
    </xdr:pic>
  </etc:cellImage>
  <etc:cellImage>
    <xdr:pic>
      <xdr:nvPicPr>
        <xdr:cNvPr id="33" name="ID_1483CC6C2A8F4DD59857EAE4395EA6E8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19500" y="39846250"/>
          <a:ext cx="1285875" cy="127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<sst xmlns="http://schemas.openxmlformats.org/spreadsheetml/2006/main" count="48" uniqueCount="47">
  <si>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</si>
  <si>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</si>
  <si>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</si>
  <si>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</si>
  <si>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</si>
  <si>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备注:22箱货</t>
  </si>
  <si>
    <t>CZ3187-0303-22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</si>
  <si>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</si>
  <si>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</si>
  <si>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</si>
  <si>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</si>
  <si>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</si>
  <si>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</si>
  <si>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</si>
  <si>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</si>
  <si>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</si>
  <si>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</si>
  <si>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20103-Y07U0015-B01
绿线灰色伞形晾衣架</t>
  </si>
  <si>
    <t>CZ3187-0303-22/1</t>
  </si>
  <si>
    <t>绿线灰色伞形晾衣架</t>
  </si>
  <si>
    <t>铁</t>
  </si>
  <si>
    <t>CZ3187-0303-22/2</t>
  </si>
  <si>
    <t>CZ3187-0303-22/3</t>
  </si>
  <si>
    <t>CZ3187-0303-22/4</t>
  </si>
  <si>
    <t>CZ3187-0303-22/5</t>
  </si>
  <si>
    <t>CZ3187-0303-22/6</t>
  </si>
  <si>
    <t>CZ3187-0303-22/7</t>
  </si>
  <si>
    <t>CZ3187-0303-22/8</t>
  </si>
  <si>
    <t>CZ3187-0303-22/9</t>
  </si>
  <si>
    <t>CZ3187-0303-22/10</t>
  </si>
  <si>
    <t>10220-Y07U0025-B01
黑色伞形晾衣架</t>
  </si>
  <si>
    <t>CZ3187-0303-22/11</t>
  </si>
  <si>
    <t>黑色伞形晾衣架</t>
  </si>
  <si>
    <t>CZ3187-0303-22/12</t>
  </si>
  <si>
    <t>CZ3187-0303-22/13</t>
  </si>
  <si>
    <t>CZ3187-0303-22/14</t>
  </si>
  <si>
    <t>CZ3187-0303-22/15</t>
  </si>
  <si>
    <t>CZ3187-0303-22/16</t>
  </si>
  <si>
    <t>CZ3187-0303-22/17</t>
  </si>
  <si>
    <t>CZ3187-0303-22/18</t>
  </si>
  <si>
    <t>CZ3187-0303-22/19</t>
  </si>
  <si>
    <t>CZ3187-0303-22/20</t>
  </si>
  <si>
    <t>CZ3187-0303-22/21</t>
  </si>
  <si>
    <t>CZ3187-0303-22/22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</si>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</sst>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workbookViewId="0">
      <selection activeCell="A5" sqref="A5:E5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 t="s">
        <v>5</v>
      </c>
      <c r="B5" s="9"/>
      <c r="C5" s="9"/>
      <c r="D5" s="9"/>
      <c r="E5" s="10"/>
      <c r="F5" s="8" t="s">
        <v>6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7</v>
      </c>
      <c r="B7" s="33" t="s">
        <v>8</v>
      </c>
      <c r="C7" s="33"/>
      <c r="D7" s="33"/>
      <c r="E7" s="33" t="s">
        <v>9</v>
      </c>
      <c r="F7" s="33"/>
      <c r="G7" s="33"/>
      <c r="H7" s="33" t="s">
        <v>10</v>
      </c>
      <c r="I7" s="33" t="s">
        <v>11</v>
      </c>
      <c r="J7" s="33" t="s">
        <v>12</v>
      </c>
      <c r="K7" s="33" t="s">
        <v>13</v>
      </c>
      <c r="L7" s="33" t="s">
        <v>14</v>
      </c>
      <c r="M7" s="33" t="s">
        <v>15</v>
      </c>
      <c r="N7" s="33" t="s">
        <v>16</v>
      </c>
      <c r="Q7" s="34"/>
    </row>
    <row r="8" ht="17.25" spans="1:18">
      <c r="A8" s="35">
        <v>1</v>
      </c>
      <c r="B8" s="36" t="s">
        <v>17</v>
      </c>
      <c r="C8" s="36"/>
      <c r="D8" s="36"/>
      <c r="E8" s="37" t="s">
        <v>18</v>
      </c>
      <c r="F8" s="37"/>
      <c r="G8" s="37"/>
      <c r="H8" s="37">
        <v>4</v>
      </c>
      <c r="I8" s="37"/>
      <c r="J8" s="36" t="str">
        <f>_xlfn.DISPIMG("ID_826879C70A614CC289FA84F2738233F2",1)</f>
        <v>=DISPIMG("ID_826879C70A614CC289FA84F2738233F2",1)</v>
      </c>
      <c r="K8" s="36">
        <v>204</v>
      </c>
      <c r="L8" s="36">
        <v>1.1</v>
      </c>
      <c r="M8" s="36" t="s">
        <v>19</v>
      </c>
      <c r="N8" s="36" t="s">
        <v>20</v>
      </c>
      <c r="Q8" s="38"/>
    </row>
    <row r="9" ht="17.25" spans="1:18">
      <c r="A9" s="39"/>
      <c r="B9" s="36"/>
      <c r="C9" s="36"/>
      <c r="D9" s="36"/>
      <c r="E9" s="37" t="s">
        <v>21</v>
      </c>
      <c r="F9" s="37"/>
      <c r="G9" s="37"/>
      <c r="H9" s="37">
        <v>4</v>
      </c>
      <c r="I9" s="37"/>
      <c r="J9" s="36"/>
      <c r="K9" s="36"/>
      <c r="L9" s="36"/>
      <c r="M9" s="36"/>
      <c r="N9" s="36"/>
      <c r="Q9" s="38"/>
    </row>
    <row r="10" ht="17.25" spans="1:18">
      <c r="A10" s="39"/>
      <c r="B10" s="36"/>
      <c r="C10" s="36"/>
      <c r="D10" s="36"/>
      <c r="E10" s="37" t="s">
        <v>22</v>
      </c>
      <c r="F10" s="37"/>
      <c r="G10" s="37"/>
      <c r="H10" s="37">
        <v>4</v>
      </c>
      <c r="I10" s="37"/>
      <c r="J10" s="36"/>
      <c r="K10" s="36"/>
      <c r="L10" s="36"/>
      <c r="M10" s="36"/>
      <c r="N10" s="36"/>
      <c r="Q10" s="40"/>
      <c r="R10" s="40"/>
    </row>
    <row r="11" ht="17.25" spans="1:18">
      <c r="A11" s="39"/>
      <c r="B11" s="36"/>
      <c r="C11" s="36"/>
      <c r="D11" s="36"/>
      <c r="E11" s="37" t="s">
        <v>23</v>
      </c>
      <c r="F11" s="37"/>
      <c r="G11" s="37"/>
      <c r="H11" s="37">
        <v>4</v>
      </c>
      <c r="I11" s="37"/>
      <c r="J11" s="36"/>
      <c r="K11" s="36"/>
      <c r="L11" s="36"/>
      <c r="M11" s="36"/>
      <c r="N11" s="36"/>
      <c r="Q11" s="40"/>
      <c r="R11" s="40"/>
    </row>
    <row r="12" ht="17.25" spans="1:18">
      <c r="A12" s="39"/>
      <c r="B12" s="36"/>
      <c r="C12" s="36"/>
      <c r="D12" s="36"/>
      <c r="E12" s="37" t="s">
        <v>24</v>
      </c>
      <c r="F12" s="37"/>
      <c r="G12" s="37"/>
      <c r="H12" s="37">
        <v>4</v>
      </c>
      <c r="I12" s="37"/>
      <c r="J12" s="36"/>
      <c r="K12" s="36"/>
      <c r="L12" s="36"/>
      <c r="M12" s="36"/>
      <c r="N12" s="36"/>
    </row>
    <row r="13" ht="17.25" spans="1:18">
      <c r="A13" s="39"/>
      <c r="B13" s="36"/>
      <c r="C13" s="36"/>
      <c r="D13" s="36"/>
      <c r="E13" s="37" t="s">
        <v>25</v>
      </c>
      <c r="F13" s="37"/>
      <c r="G13" s="37"/>
      <c r="H13" s="37">
        <v>4</v>
      </c>
      <c r="I13" s="37"/>
      <c r="J13" s="36"/>
      <c r="K13" s="36"/>
      <c r="L13" s="36"/>
      <c r="M13" s="36"/>
      <c r="N13" s="36"/>
    </row>
    <row r="14" ht="17.25" spans="1:18">
      <c r="A14" s="39"/>
      <c r="B14" s="36"/>
      <c r="C14" s="36"/>
      <c r="D14" s="36"/>
      <c r="E14" s="37" t="s">
        <v>26</v>
      </c>
      <c r="F14" s="37"/>
      <c r="G14" s="37"/>
      <c r="H14" s="37">
        <v>4</v>
      </c>
      <c r="I14" s="37"/>
      <c r="J14" s="36"/>
      <c r="K14" s="36"/>
      <c r="L14" s="36"/>
      <c r="M14" s="36"/>
      <c r="N14" s="36"/>
    </row>
    <row r="15" ht="17.25" spans="1:18">
      <c r="A15" s="39"/>
      <c r="B15" s="36"/>
      <c r="C15" s="36"/>
      <c r="D15" s="36"/>
      <c r="E15" s="37" t="s">
        <v>27</v>
      </c>
      <c r="F15" s="37"/>
      <c r="G15" s="37"/>
      <c r="H15" s="37">
        <v>4</v>
      </c>
      <c r="I15" s="37"/>
      <c r="J15" s="36"/>
      <c r="K15" s="36"/>
      <c r="L15" s="36"/>
      <c r="M15" s="36"/>
      <c r="N15" s="36"/>
      <c r="R15" s="40"/>
    </row>
    <row r="16" ht="17.25" spans="1:18">
      <c r="A16" s="39"/>
      <c r="B16" s="36"/>
      <c r="C16" s="36"/>
      <c r="D16" s="36"/>
      <c r="E16" s="37" t="s">
        <v>28</v>
      </c>
      <c r="F16" s="37"/>
      <c r="G16" s="37"/>
      <c r="H16" s="37">
        <v>4</v>
      </c>
      <c r="I16" s="37"/>
      <c r="J16" s="36"/>
      <c r="K16" s="36"/>
      <c r="L16" s="36"/>
      <c r="M16" s="36"/>
      <c r="N16" s="36"/>
      <c r="R16" s="40"/>
    </row>
    <row r="17" ht="17.25" spans="1:14">
      <c r="A17" s="39"/>
      <c r="B17" s="36"/>
      <c r="C17" s="36"/>
      <c r="D17" s="36"/>
      <c r="E17" s="37" t="s">
        <v>29</v>
      </c>
      <c r="F17" s="37"/>
      <c r="G17" s="37"/>
      <c r="H17" s="37">
        <v>4</v>
      </c>
      <c r="I17" s="37"/>
      <c r="J17" s="36"/>
      <c r="K17" s="36"/>
      <c r="L17" s="36"/>
      <c r="M17" s="36"/>
      <c r="N17" s="36"/>
    </row>
    <row r="18" ht="17.25" spans="1:14">
      <c r="A18" s="41">
        <v>2</v>
      </c>
      <c r="B18" s="42" t="s">
        <v>30</v>
      </c>
      <c r="C18" s="43"/>
      <c r="D18" s="43"/>
      <c r="E18" s="37" t="s">
        <v>31</v>
      </c>
      <c r="F18" s="37"/>
      <c r="G18" s="37"/>
      <c r="H18" s="37">
        <v>4</v>
      </c>
      <c r="I18" s="44"/>
      <c r="J18" s="45" t="str">
        <f>_xlfn.DISPIMG("ID_1483CC6C2A8F4DD59857EAE4395EA6E8",1)</f>
        <v>=DISPIMG("ID_1483CC6C2A8F4DD59857EAE4395EA6E8",1)</v>
      </c>
      <c r="K18" s="42">
        <v>246</v>
      </c>
      <c r="L18" s="42">
        <v>1.44</v>
      </c>
      <c r="M18" s="42" t="s">
        <v>32</v>
      </c>
      <c r="N18" s="42" t="s">
        <v>20</v>
      </c>
    </row>
    <row r="19" ht="17.25" spans="1:14">
      <c r="A19" s="41"/>
      <c r="B19" s="43"/>
      <c r="C19" s="43"/>
      <c r="D19" s="43"/>
      <c r="E19" s="37" t="s">
        <v>33</v>
      </c>
      <c r="F19" s="37"/>
      <c r="G19" s="37"/>
      <c r="H19" s="37">
        <v>4</v>
      </c>
      <c r="I19" s="44"/>
      <c r="J19" s="45"/>
      <c r="K19" s="42"/>
      <c r="L19" s="42"/>
      <c r="M19" s="42"/>
      <c r="N19" s="42"/>
    </row>
    <row r="20" ht="17.25" spans="1:14">
      <c r="A20" s="41"/>
      <c r="B20" s="43"/>
      <c r="C20" s="43"/>
      <c r="D20" s="43"/>
      <c r="E20" s="37" t="s">
        <v>34</v>
      </c>
      <c r="F20" s="37"/>
      <c r="G20" s="37"/>
      <c r="H20" s="37">
        <v>4</v>
      </c>
      <c r="I20" s="44"/>
      <c r="J20" s="45"/>
      <c r="K20" s="42"/>
      <c r="L20" s="42"/>
      <c r="M20" s="42"/>
      <c r="N20" s="42"/>
    </row>
    <row r="21" ht="17.25" spans="1:14">
      <c r="A21" s="41"/>
      <c r="B21" s="43"/>
      <c r="C21" s="43"/>
      <c r="D21" s="43"/>
      <c r="E21" s="37" t="s">
        <v>35</v>
      </c>
      <c r="F21" s="37"/>
      <c r="G21" s="37"/>
      <c r="H21" s="37">
        <v>4</v>
      </c>
      <c r="I21" s="44"/>
      <c r="J21" s="45"/>
      <c r="K21" s="42"/>
      <c r="L21" s="42"/>
      <c r="M21" s="42"/>
      <c r="N21" s="42"/>
    </row>
    <row r="22" ht="17.25" spans="1:14">
      <c r="A22" s="41"/>
      <c r="B22" s="43"/>
      <c r="C22" s="43"/>
      <c r="D22" s="43"/>
      <c r="E22" s="37" t="s">
        <v>36</v>
      </c>
      <c r="F22" s="37"/>
      <c r="G22" s="37"/>
      <c r="H22" s="37">
        <v>4</v>
      </c>
      <c r="I22" s="44"/>
      <c r="J22" s="45"/>
      <c r="K22" s="42"/>
      <c r="L22" s="42"/>
      <c r="M22" s="42"/>
      <c r="N22" s="42"/>
    </row>
    <row r="23" ht="17.25" spans="1:14">
      <c r="A23" s="41"/>
      <c r="B23" s="43"/>
      <c r="C23" s="43"/>
      <c r="D23" s="43"/>
      <c r="E23" s="37" t="s">
        <v>37</v>
      </c>
      <c r="F23" s="37"/>
      <c r="G23" s="37"/>
      <c r="H23" s="37">
        <v>4</v>
      </c>
      <c r="I23" s="44"/>
      <c r="J23" s="45"/>
      <c r="K23" s="42"/>
      <c r="L23" s="42"/>
      <c r="M23" s="42"/>
      <c r="N23" s="42"/>
    </row>
    <row r="24" ht="17.25" spans="1:14">
      <c r="A24" s="41"/>
      <c r="B24" s="43"/>
      <c r="C24" s="43"/>
      <c r="D24" s="43"/>
      <c r="E24" s="37" t="s">
        <v>38</v>
      </c>
      <c r="F24" s="37"/>
      <c r="G24" s="37"/>
      <c r="H24" s="37">
        <v>4</v>
      </c>
      <c r="I24" s="44"/>
      <c r="J24" s="45"/>
      <c r="K24" s="42"/>
      <c r="L24" s="42"/>
      <c r="M24" s="42"/>
      <c r="N24" s="42"/>
    </row>
    <row r="25" ht="17.25" spans="1:14">
      <c r="A25" s="41"/>
      <c r="B25" s="43"/>
      <c r="C25" s="43"/>
      <c r="D25" s="43"/>
      <c r="E25" s="37" t="s">
        <v>39</v>
      </c>
      <c r="F25" s="37"/>
      <c r="G25" s="37"/>
      <c r="H25" s="37">
        <v>4</v>
      </c>
      <c r="I25" s="44"/>
      <c r="J25" s="45"/>
      <c r="K25" s="42"/>
      <c r="L25" s="42"/>
      <c r="M25" s="42"/>
      <c r="N25" s="42"/>
    </row>
    <row r="26" ht="17.25" spans="1:14">
      <c r="A26" s="41"/>
      <c r="B26" s="43"/>
      <c r="C26" s="43"/>
      <c r="D26" s="43"/>
      <c r="E26" s="37" t="s">
        <v>40</v>
      </c>
      <c r="F26" s="37"/>
      <c r="G26" s="37"/>
      <c r="H26" s="37">
        <v>4</v>
      </c>
      <c r="I26" s="44"/>
      <c r="J26" s="45"/>
      <c r="K26" s="42"/>
      <c r="L26" s="42"/>
      <c r="M26" s="42"/>
      <c r="N26" s="42"/>
    </row>
    <row r="27" ht="17.25" spans="1:14">
      <c r="A27" s="41"/>
      <c r="B27" s="43"/>
      <c r="C27" s="43"/>
      <c r="D27" s="43"/>
      <c r="E27" s="37" t="s">
        <v>41</v>
      </c>
      <c r="F27" s="37"/>
      <c r="G27" s="37"/>
      <c r="H27" s="37">
        <v>4</v>
      </c>
      <c r="I27" s="44"/>
      <c r="J27" s="45"/>
      <c r="K27" s="42"/>
      <c r="L27" s="42"/>
      <c r="M27" s="42"/>
      <c r="N27" s="42"/>
    </row>
    <row r="28" ht="17.25" spans="1:14">
      <c r="A28" s="41"/>
      <c r="B28" s="43"/>
      <c r="C28" s="43"/>
      <c r="D28" s="43"/>
      <c r="E28" s="37" t="s">
        <v>42</v>
      </c>
      <c r="F28" s="37"/>
      <c r="G28" s="37"/>
      <c r="H28" s="37">
        <v>4</v>
      </c>
      <c r="I28" s="44"/>
      <c r="J28" s="45"/>
      <c r="K28" s="42"/>
      <c r="L28" s="42"/>
      <c r="M28" s="42"/>
      <c r="N28" s="42"/>
    </row>
    <row r="29" ht="17.25" spans="1:14">
      <c r="A29" s="41"/>
      <c r="B29" s="43"/>
      <c r="C29" s="43"/>
      <c r="D29" s="43"/>
      <c r="E29" s="37" t="s">
        <v>43</v>
      </c>
      <c r="F29" s="37"/>
      <c r="G29" s="37"/>
      <c r="H29" s="37">
        <v>4</v>
      </c>
      <c r="I29" s="44"/>
      <c r="J29" s="45"/>
      <c r="K29" s="42"/>
      <c r="L29" s="42"/>
      <c r="M29" s="42"/>
      <c r="N29" s="42"/>
    </row>
    <row r="33" ht="17.25" spans="11:13">
      <c r="K33" s="46" t="s">
        <v>44</v>
      </c>
      <c r="L33" s="46" t="s">
        <v>45</v>
      </c>
      <c r="M33" s="46" t="s">
        <v>46</v>
      </c>
    </row>
    <row r="34" ht="17.25" spans="11:13">
      <c r="K34" s="46">
        <f>SUM(K8:K33)</f>
        <v>450</v>
      </c>
      <c r="L34" s="46">
        <f>SUM(L8:L33)</f>
        <v>2.54</v>
      </c>
      <c r="M34" s="47">
        <f>K34/L34</f>
        <v>177.165354330709</v>
      </c>
    </row>
  </sheetData>
  <mergeCells count="46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A8:A17"/>
    <mergeCell ref="A18:A29"/>
    <mergeCell ref="J8:J17"/>
    <mergeCell ref="J18:J29"/>
    <mergeCell ref="K8:K17"/>
    <mergeCell ref="K18:K29"/>
    <mergeCell ref="L8:L17"/>
    <mergeCell ref="L18:L29"/>
    <mergeCell ref="M8:M17"/>
    <mergeCell ref="M18:M29"/>
    <mergeCell ref="N8:N17"/>
    <mergeCell ref="N18:N29"/>
    <mergeCell ref="J1:N6"/>
    <mergeCell ref="A2:E4"/>
    <mergeCell ref="F3:I4"/>
    <mergeCell ref="B8:D17"/>
    <mergeCell ref="B18:D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2026-03-03T08:12:58Z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6F9B0FFCE49F492AA4B1E829C5BE9F4B_13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