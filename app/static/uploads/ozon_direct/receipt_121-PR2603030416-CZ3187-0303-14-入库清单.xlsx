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E30199D258246FBB44232AB35DDA3DA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0" y="74136250"/>
          <a:ext cx="1257300" cy="1270000"/>
        </a:xfrm>
        <a:prstGeom prst="rect">
          <a:avLst/>
        </a:prstGeom>
      </xdr:spPr>
    </xdr:pic>
  </etc:cellImage>
  <etc:cellImage>
    <xdr:pic>
      <xdr:nvPicPr>
        <xdr:cNvPr id="3" name="ID_C2D07C2F495C47FCBE3480924A9179AA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0" y="93186250"/>
          <a:ext cx="1257300" cy="1270000"/>
        </a:xfrm>
        <a:prstGeom prst="rect">
          <a:avLst/>
        </a:prstGeom>
      </xdr:spPr>
    </xdr:pic>
  </etc:cellImage>
  <etc:cellImage>
    <xdr:pic>
      <xdr:nvPicPr>
        <xdr:cNvPr id="4" name="ID_884587B61E9148D4B2CDDACF7F1F6C56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19500" y="94456250"/>
          <a:ext cx="1438275" cy="127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<sst xmlns="http://schemas.openxmlformats.org/spreadsheetml/2006/main" count="43" uniqueCount="41">
  <si>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</si>
  <si>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</si>
  <si>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</si>
  <si>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</si>
  <si>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</si>
  <si>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备注:14箱货</t>
  </si>
  <si>
    <t>CZ3187-0303-14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</si>
  <si>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</si>
  <si>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</si>
  <si>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</si>
  <si>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</si>
  <si>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</si>
  <si>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</si>
  <si>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</si>
  <si>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</si>
  <si>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</si>
  <si>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</si>
  <si>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31250-Y07U0004-B01
2000片浅灰彩盒拼图垫</t>
  </si>
  <si>
    <t>CZ3187-0303-14/1</t>
  </si>
  <si>
    <t>2000片浅灰彩盒拼图垫</t>
  </si>
  <si>
    <t>毛毡</t>
  </si>
  <si>
    <t>CZ3187-0303-14/2</t>
  </si>
  <si>
    <t>CZ3187-0303-14/3</t>
  </si>
  <si>
    <t>CZ3187-0303-14/4</t>
  </si>
  <si>
    <t>CZ3187-0303-14/5</t>
  </si>
  <si>
    <t>CZ3187-0303-14/6</t>
  </si>
  <si>
    <t>38555-Y07U0001-A01
浅灰折叠拼图垫</t>
  </si>
  <si>
    <t>CZ3187-0303-14/7</t>
  </si>
  <si>
    <t>浅灰折叠拼图垫</t>
  </si>
  <si>
    <t>CZ3187-0303-14/8</t>
  </si>
  <si>
    <t>CZ3187-0303-14/9</t>
  </si>
  <si>
    <t>38559-Y07U0001-A01
卡其折叠拼图垫</t>
  </si>
  <si>
    <t>CZ3187-0303-14/10</t>
  </si>
  <si>
    <t>卡其折叠拼图垫</t>
  </si>
  <si>
    <t>CZ3187-0303-14/11</t>
  </si>
  <si>
    <t>CZ3187-0303-14/12</t>
  </si>
  <si>
    <t>CZ3187-0303-14/13</t>
  </si>
  <si>
    <t>CZ3187-0303-14/14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</si>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</sst>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4" borderId="16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top" wrapText="1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D27" sqref="D27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 t="s">
        <v>5</v>
      </c>
      <c r="B5" s="9"/>
      <c r="C5" s="9"/>
      <c r="D5" s="9"/>
      <c r="E5" s="10"/>
      <c r="F5" s="8" t="s">
        <v>6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7</v>
      </c>
      <c r="B7" s="33" t="s">
        <v>8</v>
      </c>
      <c r="C7" s="33"/>
      <c r="D7" s="33"/>
      <c r="E7" s="33" t="s">
        <v>9</v>
      </c>
      <c r="F7" s="33"/>
      <c r="G7" s="33"/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Q7" s="34"/>
    </row>
    <row r="8" ht="17.25" spans="1:18">
      <c r="A8" s="35">
        <v>1</v>
      </c>
      <c r="B8" s="36" t="s">
        <v>17</v>
      </c>
      <c r="C8" s="36"/>
      <c r="D8" s="36"/>
      <c r="E8" s="37" t="s">
        <v>18</v>
      </c>
      <c r="F8" s="37"/>
      <c r="G8" s="37"/>
      <c r="H8" s="37">
        <v>4</v>
      </c>
      <c r="I8" s="37"/>
      <c r="J8" s="35" t="str">
        <f>_xlfn.DISPIMG("ID_CE30199D258246FBB44232AB35DDA3DA",1)</f>
        <v>=DISPIMG("ID_CE30199D258246FBB44232AB35DDA3DA",1)</v>
      </c>
      <c r="K8" s="35">
        <v>130.8</v>
      </c>
      <c r="L8" s="35">
        <v>1.08</v>
      </c>
      <c r="M8" s="36" t="s">
        <v>19</v>
      </c>
      <c r="N8" s="35" t="s">
        <v>20</v>
      </c>
      <c r="Q8" s="34"/>
      <c r="R8" s="34"/>
    </row>
    <row r="9" ht="17.25" spans="1:18">
      <c r="A9" s="35"/>
      <c r="B9" s="36"/>
      <c r="C9" s="36"/>
      <c r="D9" s="36"/>
      <c r="E9" s="37" t="s">
        <v>21</v>
      </c>
      <c r="F9" s="37"/>
      <c r="G9" s="37"/>
      <c r="H9" s="37">
        <v>4</v>
      </c>
      <c r="I9" s="37"/>
      <c r="J9" s="35"/>
      <c r="K9" s="35"/>
      <c r="L9" s="35"/>
      <c r="M9" s="36"/>
      <c r="N9" s="35"/>
      <c r="Q9" s="34"/>
      <c r="R9" s="34"/>
    </row>
    <row r="10" ht="17.25" spans="1:18">
      <c r="A10" s="35"/>
      <c r="B10" s="36"/>
      <c r="C10" s="36"/>
      <c r="D10" s="36"/>
      <c r="E10" s="37" t="s">
        <v>22</v>
      </c>
      <c r="F10" s="37"/>
      <c r="G10" s="37"/>
      <c r="H10" s="37">
        <v>4</v>
      </c>
      <c r="I10" s="37"/>
      <c r="J10" s="35"/>
      <c r="K10" s="35"/>
      <c r="L10" s="35"/>
      <c r="M10" s="36"/>
      <c r="N10" s="35"/>
      <c r="Q10" s="34"/>
      <c r="R10" s="34"/>
    </row>
    <row r="11" ht="17.25" spans="1:18">
      <c r="A11" s="35"/>
      <c r="B11" s="36"/>
      <c r="C11" s="36"/>
      <c r="D11" s="36"/>
      <c r="E11" s="37" t="s">
        <v>23</v>
      </c>
      <c r="F11" s="37"/>
      <c r="G11" s="37"/>
      <c r="H11" s="37">
        <v>4</v>
      </c>
      <c r="I11" s="37"/>
      <c r="J11" s="35"/>
      <c r="K11" s="35"/>
      <c r="L11" s="35"/>
      <c r="M11" s="36"/>
      <c r="N11" s="35"/>
      <c r="Q11" s="38"/>
      <c r="R11" s="38"/>
    </row>
    <row r="12" ht="17.25" spans="1:18">
      <c r="A12" s="35"/>
      <c r="B12" s="36"/>
      <c r="C12" s="36"/>
      <c r="D12" s="36"/>
      <c r="E12" s="37" t="s">
        <v>24</v>
      </c>
      <c r="F12" s="37"/>
      <c r="G12" s="37"/>
      <c r="H12" s="37">
        <v>4</v>
      </c>
      <c r="I12" s="37"/>
      <c r="J12" s="35"/>
      <c r="K12" s="35"/>
      <c r="L12" s="35"/>
      <c r="M12" s="36"/>
      <c r="N12" s="35"/>
    </row>
    <row r="13" ht="17.25" spans="1:18">
      <c r="A13" s="35"/>
      <c r="B13" s="36"/>
      <c r="C13" s="36"/>
      <c r="D13" s="36"/>
      <c r="E13" s="37" t="s">
        <v>25</v>
      </c>
      <c r="F13" s="37"/>
      <c r="G13" s="37"/>
      <c r="H13" s="37">
        <v>4</v>
      </c>
      <c r="I13" s="37"/>
      <c r="J13" s="35"/>
      <c r="K13" s="35"/>
      <c r="L13" s="35"/>
      <c r="M13" s="36"/>
      <c r="N13" s="35"/>
    </row>
    <row r="14" ht="17.25" spans="1:18">
      <c r="A14" s="35">
        <v>2</v>
      </c>
      <c r="B14" s="36" t="s">
        <v>26</v>
      </c>
      <c r="C14" s="36"/>
      <c r="D14" s="36"/>
      <c r="E14" s="37" t="s">
        <v>27</v>
      </c>
      <c r="F14" s="37"/>
      <c r="G14" s="37"/>
      <c r="H14" s="37">
        <v>10</v>
      </c>
      <c r="I14" s="37"/>
      <c r="J14" s="35" t="str">
        <f>_xlfn.DISPIMG("ID_C2D07C2F495C47FCBE3480924A9179AA",1)</f>
        <v>=DISPIMG("ID_C2D07C2F495C47FCBE3480924A9179AA",1)</v>
      </c>
      <c r="K14" s="35">
        <v>45</v>
      </c>
      <c r="L14" s="35">
        <v>0.51</v>
      </c>
      <c r="M14" s="36" t="s">
        <v>28</v>
      </c>
      <c r="N14" s="35" t="s">
        <v>20</v>
      </c>
    </row>
    <row r="15" ht="17.25" spans="1:18">
      <c r="A15" s="35"/>
      <c r="B15" s="36"/>
      <c r="C15" s="36"/>
      <c r="D15" s="36"/>
      <c r="E15" s="37" t="s">
        <v>29</v>
      </c>
      <c r="F15" s="37"/>
      <c r="G15" s="37"/>
      <c r="H15" s="37">
        <v>10</v>
      </c>
      <c r="I15" s="37"/>
      <c r="J15" s="35"/>
      <c r="K15" s="35"/>
      <c r="L15" s="35"/>
      <c r="M15" s="36"/>
      <c r="N15" s="35"/>
      <c r="R15" s="38"/>
    </row>
    <row r="16" ht="17.25" spans="1:18">
      <c r="A16" s="35"/>
      <c r="B16" s="36"/>
      <c r="C16" s="36"/>
      <c r="D16" s="36"/>
      <c r="E16" s="37" t="s">
        <v>30</v>
      </c>
      <c r="F16" s="37"/>
      <c r="G16" s="37"/>
      <c r="H16" s="37">
        <v>10</v>
      </c>
      <c r="I16" s="37"/>
      <c r="J16" s="35"/>
      <c r="K16" s="35"/>
      <c r="L16" s="35"/>
      <c r="M16" s="36"/>
      <c r="N16" s="35"/>
      <c r="R16" s="38"/>
    </row>
    <row r="17" ht="17.25" spans="1:14">
      <c r="A17" s="35">
        <v>3</v>
      </c>
      <c r="B17" s="36" t="s">
        <v>31</v>
      </c>
      <c r="C17" s="36"/>
      <c r="D17" s="36"/>
      <c r="E17" s="37" t="s">
        <v>32</v>
      </c>
      <c r="F17" s="37"/>
      <c r="G17" s="37"/>
      <c r="H17" s="37">
        <v>10</v>
      </c>
      <c r="I17" s="37"/>
      <c r="J17" s="35" t="str">
        <f>_xlfn.DISPIMG("ID_884587B61E9148D4B2CDDACF7F1F6C56",1)</f>
        <v>=DISPIMG("ID_884587B61E9148D4B2CDDACF7F1F6C56",1)</v>
      </c>
      <c r="K17" s="35">
        <v>82</v>
      </c>
      <c r="L17" s="35">
        <v>0.85</v>
      </c>
      <c r="M17" s="36" t="s">
        <v>33</v>
      </c>
      <c r="N17" s="35" t="s">
        <v>20</v>
      </c>
    </row>
    <row r="18" ht="17.25" spans="1:14">
      <c r="A18" s="35"/>
      <c r="B18" s="36"/>
      <c r="C18" s="36"/>
      <c r="D18" s="36"/>
      <c r="E18" s="37" t="s">
        <v>34</v>
      </c>
      <c r="F18" s="37"/>
      <c r="G18" s="37"/>
      <c r="H18" s="37">
        <v>10</v>
      </c>
      <c r="I18" s="39"/>
      <c r="J18" s="35"/>
      <c r="K18" s="35"/>
      <c r="L18" s="35"/>
      <c r="M18" s="36"/>
      <c r="N18" s="35"/>
    </row>
    <row r="19" ht="17.25" spans="1:14">
      <c r="A19" s="35"/>
      <c r="B19" s="36"/>
      <c r="C19" s="36"/>
      <c r="D19" s="36"/>
      <c r="E19" s="37" t="s">
        <v>35</v>
      </c>
      <c r="F19" s="37"/>
      <c r="G19" s="37"/>
      <c r="H19" s="37">
        <v>10</v>
      </c>
      <c r="I19" s="39"/>
      <c r="J19" s="35"/>
      <c r="K19" s="35"/>
      <c r="L19" s="35"/>
      <c r="M19" s="36"/>
      <c r="N19" s="35"/>
    </row>
    <row r="20" ht="17.25" spans="1:14">
      <c r="A20" s="35"/>
      <c r="B20" s="36"/>
      <c r="C20" s="36"/>
      <c r="D20" s="36"/>
      <c r="E20" s="37" t="s">
        <v>36</v>
      </c>
      <c r="F20" s="37"/>
      <c r="G20" s="37"/>
      <c r="H20" s="37">
        <v>10</v>
      </c>
      <c r="I20" s="39"/>
      <c r="J20" s="35"/>
      <c r="K20" s="35"/>
      <c r="L20" s="35"/>
      <c r="M20" s="36"/>
      <c r="N20" s="35"/>
    </row>
    <row r="21" ht="17.25" spans="1:14">
      <c r="A21" s="35"/>
      <c r="B21" s="36"/>
      <c r="C21" s="36"/>
      <c r="D21" s="36"/>
      <c r="E21" s="37" t="s">
        <v>37</v>
      </c>
      <c r="F21" s="37"/>
      <c r="G21" s="37"/>
      <c r="H21" s="37">
        <v>10</v>
      </c>
      <c r="I21" s="39"/>
      <c r="J21" s="35"/>
      <c r="K21" s="35"/>
      <c r="L21" s="35"/>
      <c r="M21" s="36"/>
      <c r="N21" s="35"/>
    </row>
    <row r="25" ht="17.25" spans="1:14">
      <c r="K25" s="40" t="s">
        <v>38</v>
      </c>
      <c r="L25" s="40" t="s">
        <v>39</v>
      </c>
      <c r="M25" s="40" t="s">
        <v>40</v>
      </c>
    </row>
    <row r="26" ht="17.25" spans="1:14">
      <c r="K26" s="40">
        <f>SUM(K8:K25)</f>
        <v>257.8</v>
      </c>
      <c r="L26" s="40">
        <f>SUM(L8:L25)</f>
        <v>2.44</v>
      </c>
      <c r="M26" s="41">
        <f>K26/L26</f>
        <v>105.655737704918</v>
      </c>
    </row>
  </sheetData>
  <mergeCells count="45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A8:A13"/>
    <mergeCell ref="A14:A16"/>
    <mergeCell ref="A17:A21"/>
    <mergeCell ref="J8:J13"/>
    <mergeCell ref="J14:J16"/>
    <mergeCell ref="J17:J21"/>
    <mergeCell ref="K8:K13"/>
    <mergeCell ref="K14:K16"/>
    <mergeCell ref="K17:K21"/>
    <mergeCell ref="L8:L13"/>
    <mergeCell ref="L14:L16"/>
    <mergeCell ref="L17:L21"/>
    <mergeCell ref="M8:M13"/>
    <mergeCell ref="M14:M16"/>
    <mergeCell ref="M17:M21"/>
    <mergeCell ref="N8:N13"/>
    <mergeCell ref="N14:N16"/>
    <mergeCell ref="N17:N21"/>
    <mergeCell ref="J1:N6"/>
    <mergeCell ref="A2:E4"/>
    <mergeCell ref="F3:I4"/>
    <mergeCell ref="B8:D13"/>
    <mergeCell ref="B14:D16"/>
    <mergeCell ref="B17:D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2026-03-03T08:20:27Z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9888DFE655144EEEA8DC16E3FDF8AD85_13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