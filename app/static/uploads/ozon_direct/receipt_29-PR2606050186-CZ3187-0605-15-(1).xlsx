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40223F7C401A4650B4E043C61891B46E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057900" y="2228850"/>
          <a:ext cx="5762625" cy="56102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" name="ID_59D9A24D0D48418AAD06AC563DA7CE6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143625" y="3683000"/>
          <a:ext cx="5553075" cy="561022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<sst xmlns="http://schemas.openxmlformats.org/spreadsheetml/2006/main" count="30" uniqueCount="29">
  <si>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</si>
  <si>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</si>
  <si>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</si>
  <si>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</si>
  <si>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</si>
  <si>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CZ3187-0605-15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</si>
  <si>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</si>
  <si>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</si>
  <si>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</si>
  <si>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</si>
  <si>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</si>
  <si>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</si>
  <si>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</si>
  <si>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</si>
  <si>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</si>
  <si>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41634-Y07U0001-A01
6排冷凝器
申购：PR2606050186</t>
  </si>
  <si>
    <t>CZ3187-0605-15-1</t>
  </si>
  <si>
    <t>6排冷凝器</t>
  </si>
  <si>
    <t>金属</t>
  </si>
  <si>
    <t>CZ3187-0605-15-2</t>
  </si>
  <si>
    <t>CZ3187-0605-15-3</t>
  </si>
  <si>
    <t>CZ3187-0605-15-4</t>
  </si>
  <si>
    <t>41635-Y07U0001-A01
8排冷凝器
申购：PR2606060162</t>
  </si>
  <si>
    <t>CZ3187-0605-15-5</t>
  </si>
  <si>
    <t>8排冷凝器</t>
  </si>
  <si>
    <t>CZ3187-0605-15-6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</si>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</sst>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.jpeg"/><Relationship Id="rId2" Type="http://schemas.openxmlformats.org/officeDocument/2006/relationships/image" Target="NULL" TargetMode="External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tabSelected="1" workbookViewId="0">
      <selection activeCell="N26" sqref="N26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19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10</v>
      </c>
      <c r="I8" s="14" t="str">
        <f>_xlfn.DISPIMG("ID_40223F7C401A4650B4E043C61891B46E",1)</f>
        <v>=DISPIMG("ID_40223F7C401A4650B4E043C61891B46E",1)</v>
      </c>
      <c r="J8" s="15">
        <v>44.8</v>
      </c>
      <c r="K8" s="15">
        <v>0.32</v>
      </c>
      <c r="L8" s="15" t="s">
        <v>17</v>
      </c>
      <c r="M8" s="15" t="s">
        <v>18</v>
      </c>
      <c r="O8" s="6"/>
      <c r="P8" s="6"/>
      <c r="Q8" s="6"/>
    </row>
    <row r="9" ht="23" customHeight="1" spans="1:19">
      <c r="A9" s="16"/>
      <c r="B9" s="10"/>
      <c r="C9" s="10"/>
      <c r="D9" s="10"/>
      <c r="E9" s="11" t="s">
        <v>19</v>
      </c>
      <c r="F9" s="12"/>
      <c r="G9" s="12"/>
      <c r="H9" s="13">
        <v>10</v>
      </c>
      <c r="I9" s="14"/>
      <c r="J9" s="17"/>
      <c r="K9" s="17"/>
      <c r="L9" s="17"/>
      <c r="M9" s="17"/>
      <c r="O9"/>
      <c r="P9" s="6"/>
      <c r="Q9" s="6"/>
    </row>
    <row r="10" ht="23" customHeight="1" spans="1:19">
      <c r="A10" s="16"/>
      <c r="B10" s="10"/>
      <c r="C10" s="10"/>
      <c r="D10" s="10"/>
      <c r="E10" s="11" t="s">
        <v>20</v>
      </c>
      <c r="F10" s="12"/>
      <c r="G10" s="12"/>
      <c r="H10" s="13">
        <v>10</v>
      </c>
      <c r="I10" s="14"/>
      <c r="J10" s="17"/>
      <c r="K10" s="17"/>
      <c r="L10" s="17"/>
      <c r="M10" s="17"/>
      <c r="O10" s="6"/>
      <c r="P10" s="6"/>
      <c r="Q10" s="6"/>
    </row>
    <row r="11" ht="23" customHeight="1" spans="1:19">
      <c r="A11" s="16"/>
      <c r="B11" s="10"/>
      <c r="C11" s="10"/>
      <c r="D11" s="10"/>
      <c r="E11" s="11" t="s">
        <v>21</v>
      </c>
      <c r="F11" s="12"/>
      <c r="G11" s="12"/>
      <c r="H11" s="13">
        <v>10</v>
      </c>
      <c r="I11" s="14"/>
      <c r="J11" s="17"/>
      <c r="K11" s="17"/>
      <c r="L11" s="17"/>
      <c r="M11" s="17"/>
      <c r="P11" s="6"/>
      <c r="Q11" s="6"/>
      <c r="S11"/>
    </row>
    <row r="12" ht="54" customHeight="1" spans="1:19">
      <c r="A12" s="15">
        <v>2</v>
      </c>
      <c r="B12" s="18" t="s">
        <v>22</v>
      </c>
      <c r="C12" s="19"/>
      <c r="D12" s="20"/>
      <c r="E12" s="11" t="s">
        <v>23</v>
      </c>
      <c r="F12" s="12"/>
      <c r="G12" s="12"/>
      <c r="H12" s="13">
        <v>10</v>
      </c>
      <c r="I12" s="15" t="str">
        <f>_xlfn.DISPIMG("ID_59D9A24D0D48418AAD06AC563DA7CE64",1)</f>
        <v>=DISPIMG("ID_59D9A24D0D48418AAD06AC563DA7CE64",1)</v>
      </c>
      <c r="J12" s="15">
        <v>27.6</v>
      </c>
      <c r="K12" s="15">
        <v>0.15</v>
      </c>
      <c r="L12" s="15" t="s">
        <v>24</v>
      </c>
      <c r="M12" s="15" t="s">
        <v>18</v>
      </c>
      <c r="N12"/>
    </row>
    <row r="13" ht="54" customHeight="1" spans="1:19">
      <c r="A13" s="21"/>
      <c r="B13" s="22"/>
      <c r="C13" s="23"/>
      <c r="D13" s="24"/>
      <c r="E13" s="11" t="s">
        <v>25</v>
      </c>
      <c r="F13" s="12"/>
      <c r="G13" s="12"/>
      <c r="H13" s="13">
        <v>10</v>
      </c>
      <c r="I13" s="17"/>
      <c r="J13" s="21"/>
      <c r="K13" s="21"/>
      <c r="L13" s="21"/>
      <c r="M13" s="21"/>
    </row>
    <row r="16" ht="17.25" spans="1:19">
      <c r="J16" s="25" t="s">
        <v>26</v>
      </c>
      <c r="K16" s="25" t="s">
        <v>27</v>
      </c>
      <c r="L16" s="25" t="s">
        <v>28</v>
      </c>
    </row>
    <row r="17" ht="17.25" spans="10:12">
      <c r="J17" s="25">
        <f>SUM(J8:J16)</f>
        <v>72.4</v>
      </c>
      <c r="K17" s="25">
        <f>SUM(K8:K16)</f>
        <v>0.47</v>
      </c>
      <c r="L17" s="26">
        <f>J17/K17</f>
        <v>154.042553191489</v>
      </c>
    </row>
  </sheetData>
  <mergeCells count="30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A8:A11"/>
    <mergeCell ref="A12:A13"/>
    <mergeCell ref="I8:I11"/>
    <mergeCell ref="I12:I13"/>
    <mergeCell ref="J8:J11"/>
    <mergeCell ref="J12:J13"/>
    <mergeCell ref="K8:K11"/>
    <mergeCell ref="K12:K13"/>
    <mergeCell ref="L8:L11"/>
    <mergeCell ref="L12:L13"/>
    <mergeCell ref="M8:M11"/>
    <mergeCell ref="M12:M13"/>
    <mergeCell ref="A2:E4"/>
    <mergeCell ref="I1:M6"/>
    <mergeCell ref="F3:H4"/>
    <mergeCell ref="B8:D11"/>
    <mergeCell ref="B12:D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2026-06-08T06:23:49Z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