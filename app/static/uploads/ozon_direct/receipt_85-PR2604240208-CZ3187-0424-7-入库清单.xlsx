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780" windowHeight="12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4" name="ID_BC97C92F91B84A33997CCA3EFF3FB070" descr="微信截图_20260424135517"/>
        <xdr:cNvPicPr/>
      </xdr:nvPicPr>
      <xdr:blipFill>
        <a:blip r:embed="rId1"/>
        <a:stretch>
          <a:fillRect/>
        </a:stretch>
      </xdr:blipFill>
      <xdr:spPr>
        <a:xfrm>
          <a:off x="0" y="0"/>
          <a:ext cx="5553075" cy="5610225"/>
        </a:xfrm>
        <a:prstGeom prst="rect">
          <a:avLst/>
        </a:prstGeom>
      </xdr:spPr>
    </xdr:pic>
  </etc:cellImage>
  <etc:cellImage>
    <xdr:pic>
      <xdr:nvPicPr>
        <xdr:cNvPr id="5" name="ID_30C2C0A66824479BA5C8E33CCBF683F8" descr="微信截图_20260424112622"/>
        <xdr:cNvPicPr/>
      </xdr:nvPicPr>
      <xdr:blipFill>
        <a:blip r:embed="rId2"/>
        <a:stretch>
          <a:fillRect/>
        </a:stretch>
      </xdr:blipFill>
      <xdr:spPr>
        <a:xfrm>
          <a:off x="0" y="0"/>
          <a:ext cx="5762625" cy="5610225"/>
        </a:xfrm>
        <a:prstGeom prst="rect">
          <a:avLst/>
        </a:prstGeom>
      </xdr:spPr>
    </xdr:pic>
  </etc:cellImage>
  <etc:cellImage>
    <xdr:pic>
      <xdr:nvPicPr>
        <xdr:cNvPr id="6" name="ID_39492005082747FFA4B6EAB80DB1B4C6" descr="微信截图_20260424135908"/>
        <xdr:cNvPicPr/>
      </xdr:nvPicPr>
      <xdr:blipFill>
        <a:blip r:embed="rId3"/>
        <a:stretch>
          <a:fillRect/>
        </a:stretch>
      </xdr:blipFill>
      <xdr:spPr>
        <a:xfrm>
          <a:off x="0" y="0"/>
          <a:ext cx="5438775" cy="4924425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<sst xmlns="http://schemas.openxmlformats.org/spreadsheetml/2006/main" count="30" uniqueCount="30">
  <si>
    <t>入库清单</t>
  </si>
  <si>
    <t>箱单信息</t>
  </si>
  <si>
    <t>义乌新库房地址：雪峰西路751号（高德导航义乌华鼎锦纶股份有限公司院里）接货电话：18072363466
上班时间：早8.30到晚19点，
收货人（客户代码CZ3187）</t>
  </si>
  <si>
    <t>客户代码:CZ3187</t>
  </si>
  <si>
    <t>运输方式:TIR卡航</t>
  </si>
  <si>
    <t>CZ3187-0424-7</t>
  </si>
  <si>
    <t>序号</t>
  </si>
  <si>
    <t>产品信息</t>
  </si>
  <si>
    <t>外箱箱唛</t>
  </si>
  <si>
    <t>数量</t>
  </si>
  <si>
    <t>图片</t>
  </si>
  <si>
    <t>重量</t>
  </si>
  <si>
    <t>体积</t>
  </si>
  <si>
    <t>产品名</t>
  </si>
  <si>
    <t>材质</t>
  </si>
  <si>
    <t>41634-Y07U0001-A01
6排冷凝器</t>
  </si>
  <si>
    <t>CZ3187-0424-7/1</t>
  </si>
  <si>
    <t>冷凝器</t>
  </si>
  <si>
    <t>金属</t>
  </si>
  <si>
    <t>CZ3187-0424-7/2</t>
  </si>
  <si>
    <t>41635-Y07U0001-A01
8排冷凝器</t>
  </si>
  <si>
    <t>CZ3187-0424-7/3</t>
  </si>
  <si>
    <t>CZ3187-0424-7/4</t>
  </si>
  <si>
    <t>CZ3187-0424-7/5</t>
  </si>
  <si>
    <t>41636-Y07U0001-A01
10排冷凝器</t>
  </si>
  <si>
    <t>CZ3187-0424-7/6</t>
  </si>
  <si>
    <t>CZ3187-0424-7/7</t>
  </si>
  <si>
    <t>总重量</t>
  </si>
  <si>
    <t>总体积</t>
  </si>
  <si>
    <t>密度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</si>
</sst>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5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20"/>
      <color theme="1"/>
      <name val="微软雅黑"/>
      <charset val="134"/>
    </font>
    <font>
      <b/>
      <sz val="14"/>
      <color theme="1"/>
      <name val="微软雅黑"/>
      <charset val="134"/>
    </font>
    <font>
      <sz val="12"/>
      <color theme="1"/>
      <name val="微软雅黑"/>
      <charset val="134"/>
    </font>
    <font>
      <sz val="14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6" applyNumberFormat="0" applyAlignment="0" applyProtection="0">
      <alignment vertical="center"/>
    </xf>
    <xf numFmtId="0" fontId="15" fillId="4" borderId="17" applyNumberFormat="0" applyAlignment="0" applyProtection="0">
      <alignment vertical="center"/>
    </xf>
    <xf numFmtId="0" fontId="16" fillId="4" borderId="16" applyNumberFormat="0" applyAlignment="0" applyProtection="0">
      <alignment vertical="center"/>
    </xf>
    <xf numFmtId="0" fontId="17" fillId="5" borderId="18" applyNumberFormat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1" xfId="0" applyFont="1" applyFill="1" applyBorder="1" applyAlignment="1">
      <alignment vertical="center"/>
    </xf>
    <xf numFmtId="0" fontId="0" fillId="0" borderId="0" xfId="0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6" fillId="0" borderId="2" xfId="6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5" fillId="0" borderId="6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Border="1">
      <alignment vertical="center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3" Type="http://schemas.openxmlformats.org/officeDocument/2006/relationships/image" Target="media/image3.jpeg"/><Relationship Id="rId2" Type="http://schemas.openxmlformats.org/officeDocument/2006/relationships/image" Target="media/image2.jpeg"/><Relationship Id="rId1" Type="http://schemas.openxmlformats.org/officeDocument/2006/relationships/image" Target="media/image1.jpe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8"/>
  <sheetViews>
    <sheetView tabSelected="1" workbookViewId="0">
      <selection activeCell="S12" sqref="S12"/>
    </sheetView>
  </sheetViews>
  <sheetFormatPr defaultColWidth="9" defaultRowHeight="16.5"/>
  <cols>
    <col min="1" max="7" width="9" style="1"/>
    <col min="8" max="8" width="13.375" style="1" customWidth="1"/>
    <col min="9" max="9" width="16.125" style="1" customWidth="1"/>
    <col min="10" max="11" width="9" style="1"/>
    <col min="12" max="12" width="12.125" style="1" customWidth="1"/>
    <col min="13" max="13" width="11.375" style="1"/>
    <col min="14" max="16384" width="9" style="1"/>
  </cols>
  <sheetData>
    <row r="1" ht="29.25" spans="1:20">
      <c r="A1" s="2" t="s">
        <v>0</v>
      </c>
      <c r="B1" s="2"/>
      <c r="C1" s="2"/>
      <c r="D1" s="2"/>
      <c r="E1" s="2"/>
      <c r="F1" s="2"/>
      <c r="G1" s="2"/>
      <c r="H1" s="2"/>
      <c r="I1" s="3" t="s">
        <v>1</v>
      </c>
      <c r="J1" s="3"/>
      <c r="K1" s="3"/>
      <c r="L1" s="3"/>
      <c r="M1" s="3"/>
    </row>
    <row r="2" ht="25" customHeight="1" spans="1:20">
      <c r="A2" s="4" t="s">
        <v>2</v>
      </c>
      <c r="B2" s="4"/>
      <c r="C2" s="4"/>
      <c r="D2" s="4"/>
      <c r="E2" s="4"/>
      <c r="F2" s="5" t="s">
        <v>3</v>
      </c>
      <c r="G2" s="5"/>
      <c r="H2" s="5"/>
      <c r="I2" s="3"/>
      <c r="J2" s="3"/>
      <c r="K2" s="3"/>
      <c r="L2" s="3"/>
      <c r="M2" s="3"/>
    </row>
    <row r="3" ht="25" customHeight="1" spans="1:20">
      <c r="A3" s="4"/>
      <c r="B3" s="4"/>
      <c r="C3" s="4"/>
      <c r="D3" s="4"/>
      <c r="E3" s="4"/>
      <c r="F3" s="5" t="s">
        <v>4</v>
      </c>
      <c r="G3" s="5"/>
      <c r="H3" s="5"/>
      <c r="I3" s="3"/>
      <c r="J3" s="3"/>
      <c r="K3" s="3"/>
      <c r="L3" s="3"/>
      <c r="M3" s="3"/>
    </row>
    <row r="4" ht="38" customHeight="1" spans="1:20">
      <c r="A4" s="4"/>
      <c r="B4" s="4"/>
      <c r="C4" s="4"/>
      <c r="D4" s="4"/>
      <c r="E4" s="4"/>
      <c r="F4" s="5"/>
      <c r="G4" s="5"/>
      <c r="H4" s="5"/>
      <c r="I4" s="3"/>
      <c r="J4" s="3"/>
      <c r="K4" s="3"/>
      <c r="L4" s="3"/>
      <c r="M4" s="3"/>
    </row>
    <row r="5" ht="17.25" spans="1:20">
      <c r="A5" s="5"/>
      <c r="B5" s="5"/>
      <c r="C5" s="5"/>
      <c r="D5" s="5"/>
      <c r="E5" s="5"/>
      <c r="F5" s="5" t="s">
        <v>5</v>
      </c>
      <c r="G5" s="5"/>
      <c r="H5" s="5"/>
      <c r="I5" s="3"/>
      <c r="J5" s="3"/>
      <c r="K5" s="3"/>
      <c r="L5" s="3"/>
      <c r="M5" s="3"/>
    </row>
    <row r="6" spans="1:20">
      <c r="A6" s="6"/>
      <c r="B6" s="6"/>
      <c r="C6" s="6"/>
      <c r="D6" s="6"/>
      <c r="E6" s="6"/>
      <c r="F6" s="6"/>
      <c r="G6" s="6"/>
      <c r="H6" s="6"/>
      <c r="I6" s="3"/>
      <c r="J6" s="3"/>
      <c r="K6" s="3"/>
      <c r="L6" s="3"/>
      <c r="M6" s="3"/>
      <c r="O6"/>
      <c r="P6" s="7"/>
      <c r="Q6" s="7"/>
    </row>
    <row r="7" ht="21" spans="1:20">
      <c r="A7" s="8" t="s">
        <v>6</v>
      </c>
      <c r="B7" s="3" t="s">
        <v>7</v>
      </c>
      <c r="C7" s="3"/>
      <c r="D7" s="3"/>
      <c r="E7" s="3" t="s">
        <v>8</v>
      </c>
      <c r="F7" s="3"/>
      <c r="G7" s="3"/>
      <c r="H7" s="3" t="s">
        <v>9</v>
      </c>
      <c r="I7" s="3" t="s">
        <v>10</v>
      </c>
      <c r="J7" s="3" t="s">
        <v>11</v>
      </c>
      <c r="K7" s="3" t="s">
        <v>12</v>
      </c>
      <c r="L7" s="3" t="s">
        <v>13</v>
      </c>
      <c r="M7" s="3" t="s">
        <v>14</v>
      </c>
      <c r="P7" s="9"/>
      <c r="Q7" s="9"/>
      <c r="S7" s="7"/>
    </row>
    <row r="8" ht="23" customHeight="1" spans="1:20">
      <c r="A8" s="10">
        <v>1</v>
      </c>
      <c r="B8" s="11" t="s">
        <v>15</v>
      </c>
      <c r="C8" s="12"/>
      <c r="D8" s="13"/>
      <c r="E8" s="14" t="s">
        <v>16</v>
      </c>
      <c r="F8" s="14"/>
      <c r="G8" s="14"/>
      <c r="H8" s="15">
        <v>10</v>
      </c>
      <c r="I8" s="16" t="str">
        <f>_xlfn.DISPIMG("ID_30C2C0A66824479BA5C8E33CCBF683F8",1)</f>
        <v>=DISPIMG("ID_30C2C0A66824479BA5C8E33CCBF683F8",1)</v>
      </c>
      <c r="J8" s="17">
        <v>22.4</v>
      </c>
      <c r="K8" s="17">
        <v>0.16</v>
      </c>
      <c r="L8" s="10" t="s">
        <v>17</v>
      </c>
      <c r="M8" s="10" t="s">
        <v>18</v>
      </c>
      <c r="P8" s="9"/>
      <c r="Q8" s="9"/>
    </row>
    <row r="9" ht="23" customHeight="1" spans="1:20">
      <c r="A9" s="18"/>
      <c r="B9" s="19"/>
      <c r="C9" s="20"/>
      <c r="D9" s="21"/>
      <c r="E9" s="14" t="s">
        <v>19</v>
      </c>
      <c r="F9" s="14"/>
      <c r="G9" s="14"/>
      <c r="H9" s="15">
        <v>10</v>
      </c>
      <c r="I9" s="18"/>
      <c r="J9" s="17"/>
      <c r="K9" s="17"/>
      <c r="L9" s="18"/>
      <c r="M9" s="18"/>
      <c r="P9" s="9"/>
      <c r="Q9" s="9"/>
    </row>
    <row r="10" ht="23" customHeight="1" spans="1:20">
      <c r="A10" s="10">
        <v>2</v>
      </c>
      <c r="B10" s="11" t="s">
        <v>20</v>
      </c>
      <c r="C10" s="12"/>
      <c r="D10" s="13"/>
      <c r="E10" s="14" t="s">
        <v>21</v>
      </c>
      <c r="F10" s="14"/>
      <c r="G10" s="14"/>
      <c r="H10" s="15">
        <v>10</v>
      </c>
      <c r="I10" s="10" t="str">
        <f>_xlfn.DISPIMG("ID_BC97C92F91B84A33997CCA3EFF3FB070",1)</f>
        <v>=DISPIMG("ID_BC97C92F91B84A33997CCA3EFF3FB070",1)</v>
      </c>
      <c r="J10" s="17">
        <v>41.4</v>
      </c>
      <c r="K10" s="17">
        <v>0.23</v>
      </c>
      <c r="L10" s="18"/>
      <c r="M10" s="18"/>
      <c r="T10"/>
    </row>
    <row r="11" ht="17.25" spans="1:20">
      <c r="A11" s="18"/>
      <c r="B11" s="19"/>
      <c r="C11" s="20"/>
      <c r="D11" s="21"/>
      <c r="E11" s="14" t="s">
        <v>22</v>
      </c>
      <c r="F11" s="14"/>
      <c r="G11" s="14"/>
      <c r="H11" s="15">
        <v>10</v>
      </c>
      <c r="I11" s="18"/>
      <c r="J11" s="17"/>
      <c r="K11" s="17"/>
      <c r="L11" s="18"/>
      <c r="M11" s="18"/>
    </row>
    <row r="12" ht="17.25" spans="1:20">
      <c r="A12" s="22"/>
      <c r="B12" s="23"/>
      <c r="C12" s="24"/>
      <c r="D12" s="25"/>
      <c r="E12" s="14" t="s">
        <v>23</v>
      </c>
      <c r="F12" s="14"/>
      <c r="G12" s="14"/>
      <c r="H12" s="15">
        <v>10</v>
      </c>
      <c r="I12" s="22"/>
      <c r="J12" s="17"/>
      <c r="K12" s="17"/>
      <c r="L12" s="18"/>
      <c r="M12" s="18"/>
    </row>
    <row r="13" ht="25" customHeight="1" spans="1:20">
      <c r="A13" s="10">
        <v>3</v>
      </c>
      <c r="B13" s="11" t="s">
        <v>24</v>
      </c>
      <c r="C13" s="12"/>
      <c r="D13" s="13"/>
      <c r="E13" s="14" t="s">
        <v>25</v>
      </c>
      <c r="F13" s="14"/>
      <c r="G13" s="14"/>
      <c r="H13" s="15">
        <v>10</v>
      </c>
      <c r="I13" s="10" t="str">
        <f>_xlfn.DISPIMG("ID_39492005082747FFA4B6EAB80DB1B4C6",1)</f>
        <v>=DISPIMG("ID_39492005082747FFA4B6EAB80DB1B4C6",1)</v>
      </c>
      <c r="J13" s="17">
        <v>31.2</v>
      </c>
      <c r="K13" s="17">
        <v>0.19</v>
      </c>
      <c r="L13" s="18"/>
      <c r="M13" s="18"/>
    </row>
    <row r="14" ht="25" customHeight="1" spans="1:20">
      <c r="A14" s="22"/>
      <c r="B14" s="23"/>
      <c r="C14" s="24"/>
      <c r="D14" s="25"/>
      <c r="E14" s="14" t="s">
        <v>26</v>
      </c>
      <c r="F14" s="14"/>
      <c r="G14" s="14"/>
      <c r="H14" s="15">
        <v>10</v>
      </c>
      <c r="I14" s="22"/>
      <c r="J14" s="17"/>
      <c r="K14" s="17"/>
      <c r="L14" s="22"/>
      <c r="M14" s="22"/>
    </row>
    <row r="15" ht="17.25" spans="1:20">
      <c r="E15" s="26"/>
      <c r="F15" s="26"/>
      <c r="G15" s="26"/>
    </row>
    <row r="16" ht="17.25" spans="1:20">
      <c r="E16" s="26"/>
      <c r="F16" s="26"/>
      <c r="G16" s="26"/>
    </row>
    <row r="17" ht="17.25" spans="5:12">
      <c r="E17" s="27"/>
      <c r="F17" s="27"/>
      <c r="G17" s="27"/>
      <c r="J17" s="28" t="s">
        <v>27</v>
      </c>
      <c r="K17" s="28" t="s">
        <v>28</v>
      </c>
      <c r="L17" s="28" t="s">
        <v>29</v>
      </c>
    </row>
    <row r="18" ht="17.25" spans="5:12">
      <c r="J18" s="28">
        <f>SUM(J8:J17)</f>
        <v>95</v>
      </c>
      <c r="K18" s="28">
        <f>SUM(K8:K17)</f>
        <v>0.58</v>
      </c>
      <c r="L18" s="29">
        <f>J18/K18</f>
        <v>163.793103448276</v>
      </c>
    </row>
  </sheetData>
  <mergeCells count="36">
    <mergeCell ref="A1:H1"/>
    <mergeCell ref="F2:H2"/>
    <mergeCell ref="A5:E5"/>
    <mergeCell ref="F5:H5"/>
    <mergeCell ref="A6:H6"/>
    <mergeCell ref="B7:D7"/>
    <mergeCell ref="E7:G7"/>
    <mergeCell ref="E8:G8"/>
    <mergeCell ref="E9:G9"/>
    <mergeCell ref="E10:G10"/>
    <mergeCell ref="E11:G11"/>
    <mergeCell ref="E12:G12"/>
    <mergeCell ref="E13:G13"/>
    <mergeCell ref="E14:G14"/>
    <mergeCell ref="E15:G15"/>
    <mergeCell ref="E16:G16"/>
    <mergeCell ref="A8:A9"/>
    <mergeCell ref="A10:A12"/>
    <mergeCell ref="A13:A14"/>
    <mergeCell ref="I8:I9"/>
    <mergeCell ref="I10:I12"/>
    <mergeCell ref="I13:I14"/>
    <mergeCell ref="J8:J9"/>
    <mergeCell ref="J10:J12"/>
    <mergeCell ref="J13:J14"/>
    <mergeCell ref="K8:K9"/>
    <mergeCell ref="K10:K12"/>
    <mergeCell ref="K13:K14"/>
    <mergeCell ref="L8:L14"/>
    <mergeCell ref="M8:M14"/>
    <mergeCell ref="A2:E4"/>
    <mergeCell ref="I1:M6"/>
    <mergeCell ref="F3:H4"/>
    <mergeCell ref="B8:D9"/>
    <mergeCell ref="B10:D12"/>
    <mergeCell ref="B13:D1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Baby's breath</cp:lastModifiedBy>
  <dcterms:created xsi:type="dcterms:W3CDTF">2026-03-03T06:37:00Z</dcterms:created>
  <dcterms:modified xsi:type="dcterms:W3CDTF">2026-04-24T08:36:57Z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592C5FA00DA944BBA0FD33A97A55F8B0_13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