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78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22D799D439064044AF4307061770B4C0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19500" y="476250"/>
          <a:ext cx="1266825" cy="1270000"/>
        </a:xfrm>
        <a:prstGeom prst="rect">
          <a:avLst/>
        </a:prstGeom>
      </xdr:spPr>
    </xdr:pic>
  </etc:cellImage>
  <etc:cellImage>
    <xdr:pic>
      <xdr:nvPicPr>
        <xdr:cNvPr id="8" name="ID_7F791FBFB18446B39A7AD9C9804A9826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619500" y="6826250"/>
          <a:ext cx="1543050" cy="127000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<sst xmlns="http://schemas.openxmlformats.org/spreadsheetml/2006/main" count="35" uniqueCount="34">
  <si>
    <t>入库清单</t>
  </si>
  <si>
    <t>箱单信息</t>
  </si>
  <si>
    <t>义乌新库房地址：雪峰西路751号（高德导航义乌华鼎锦纶股份有限公司院里）接货电话：18072363466
上班时间：早8.30到晚19点，
收货人（客户代码CZ3187）</t>
  </si>
  <si>
    <t>客户代码:CZ3187</t>
  </si>
  <si>
    <t>运输方式:TIR卡航</t>
  </si>
  <si>
    <t>备注:9箱货</t>
  </si>
  <si>
    <t>CZ3187-0303-9</t>
  </si>
  <si>
    <t>序号</t>
  </si>
  <si>
    <t>产品信息</t>
  </si>
  <si>
    <t>外箱箱唛</t>
  </si>
  <si>
    <t>预期数量</t>
  </si>
  <si>
    <t>收货数量</t>
  </si>
  <si>
    <t>图片</t>
  </si>
  <si>
    <t>重量</t>
  </si>
  <si>
    <t>体积</t>
  </si>
  <si>
    <t>产品名</t>
  </si>
  <si>
    <t>材质</t>
  </si>
  <si>
    <t>37965-Y07U0001-B02
白色亚克力仓鼠笼子</t>
  </si>
  <si>
    <t>CZ3187-0303-9/1</t>
  </si>
  <si>
    <t>白色亚克力仓鼠笼子</t>
  </si>
  <si>
    <t>亚克力</t>
  </si>
  <si>
    <t>CZ3187-0303-9/2</t>
  </si>
  <si>
    <t>CZ3187-0303-9/3</t>
  </si>
  <si>
    <t>CZ3187-0303-9/4</t>
  </si>
  <si>
    <t>33367-Y07U0001-B02
绿色亚克力仓鼠笼子</t>
  </si>
  <si>
    <t>CZ3187-0303-9/5</t>
  </si>
  <si>
    <t>绿色亚克力仓鼠笼子</t>
  </si>
  <si>
    <t>CZ3187-0303-9/6</t>
  </si>
  <si>
    <t>CZ3187-0303-9/7</t>
  </si>
  <si>
    <t>CZ3187-0303-9/8</t>
  </si>
  <si>
    <t>CZ3187-0303-9/9</t>
  </si>
  <si>
    <t>总重量</t>
  </si>
  <si>
    <t>总体积</t>
  </si>
  <si>
    <t>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</si>
</sst>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7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0"/>
      <color theme="1"/>
      <name val="微软雅黑"/>
      <charset val="134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sz val="11"/>
      <color indexed="8"/>
      <name val="微软雅黑"/>
      <charset val="134"/>
    </font>
    <font>
      <sz val="14"/>
      <color theme="1"/>
      <name val="微软雅黑"/>
      <charset val="134"/>
    </font>
    <font>
      <sz val="12"/>
      <color indexed="8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7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9" applyNumberFormat="0" applyAlignment="0" applyProtection="0">
      <alignment vertical="center"/>
    </xf>
    <xf numFmtId="0" fontId="17" fillId="4" borderId="20" applyNumberFormat="0" applyAlignment="0" applyProtection="0">
      <alignment vertical="center"/>
    </xf>
    <xf numFmtId="0" fontId="18" fillId="4" borderId="19" applyNumberFormat="0" applyAlignment="0" applyProtection="0">
      <alignment vertical="center"/>
    </xf>
    <xf numFmtId="0" fontId="19" fillId="5" borderId="21" applyNumberFormat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0" borderId="23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left" vertical="center" wrapText="1"/>
    </xf>
    <xf numFmtId="0" fontId="4" fillId="0" borderId="0" xfId="0" applyFont="1" applyFill="1" applyAlignment="1">
      <alignment horizontal="left" vertical="center" wrapText="1"/>
    </xf>
    <xf numFmtId="0" fontId="4" fillId="0" borderId="9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0" fontId="4" fillId="0" borderId="10" xfId="0" applyFont="1" applyFill="1" applyBorder="1" applyAlignment="1">
      <alignment horizontal="left" vertical="center" wrapText="1"/>
    </xf>
    <xf numFmtId="0" fontId="4" fillId="0" borderId="11" xfId="0" applyFont="1" applyFill="1" applyBorder="1" applyAlignment="1">
      <alignment horizontal="left" vertical="center" wrapText="1"/>
    </xf>
    <xf numFmtId="0" fontId="4" fillId="0" borderId="12" xfId="0" applyFont="1" applyFill="1" applyBorder="1" applyAlignment="1">
      <alignment horizontal="left" vertical="center" wrapText="1"/>
    </xf>
    <xf numFmtId="0" fontId="4" fillId="0" borderId="10" xfId="0" applyFont="1" applyFill="1" applyBorder="1" applyAlignment="1">
      <alignment horizontal="left" vertical="center"/>
    </xf>
    <xf numFmtId="0" fontId="4" fillId="0" borderId="11" xfId="0" applyFont="1" applyFill="1" applyBorder="1" applyAlignment="1">
      <alignment horizontal="left" vertical="center"/>
    </xf>
    <xf numFmtId="0" fontId="4" fillId="0" borderId="12" xfId="0" applyFont="1" applyFill="1" applyBorder="1" applyAlignment="1">
      <alignment horizontal="left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6" fillId="0" borderId="13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top" wrapText="1"/>
    </xf>
    <xf numFmtId="0" fontId="6" fillId="0" borderId="14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176" fontId="6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0"/>
  <sheetViews>
    <sheetView tabSelected="1" workbookViewId="0">
      <selection activeCell="G21" sqref="G21"/>
    </sheetView>
  </sheetViews>
  <sheetFormatPr defaultColWidth="9" defaultRowHeight="16.5"/>
  <cols>
    <col min="1" max="7" width="9" style="1"/>
    <col min="8" max="8" width="13.375" style="1" customWidth="1"/>
    <col min="9" max="9" width="14.125" style="1" customWidth="1"/>
    <col min="10" max="10" width="16.125" style="1" customWidth="1"/>
    <col min="11" max="12" width="9" style="1"/>
    <col min="13" max="13" width="13.875" style="1" customWidth="1"/>
    <col min="14" max="14" width="11.375" style="1"/>
    <col min="15" max="16384" width="9" style="1"/>
  </cols>
  <sheetData>
    <row r="1" ht="29.25" spans="1:17">
      <c r="A1" s="2" t="s">
        <v>0</v>
      </c>
      <c r="B1" s="2"/>
      <c r="C1" s="2"/>
      <c r="D1" s="2"/>
      <c r="E1" s="2"/>
      <c r="F1" s="2"/>
      <c r="G1" s="2"/>
      <c r="H1" s="2"/>
      <c r="I1" s="2"/>
      <c r="J1" s="3" t="s">
        <v>1</v>
      </c>
      <c r="K1" s="4"/>
      <c r="L1" s="4"/>
      <c r="M1" s="4"/>
      <c r="N1" s="5"/>
    </row>
    <row r="2" ht="25" customHeight="1" spans="1:17">
      <c r="A2" s="6" t="s">
        <v>2</v>
      </c>
      <c r="B2" s="7"/>
      <c r="C2" s="7"/>
      <c r="D2" s="7"/>
      <c r="E2" s="8"/>
      <c r="F2" s="9" t="s">
        <v>3</v>
      </c>
      <c r="G2" s="10"/>
      <c r="H2" s="10"/>
      <c r="I2" s="11"/>
      <c r="J2" s="12"/>
      <c r="K2" s="13"/>
      <c r="L2" s="13"/>
      <c r="M2" s="13"/>
      <c r="N2" s="14"/>
    </row>
    <row r="3" ht="25" customHeight="1" spans="1:17">
      <c r="A3" s="15"/>
      <c r="B3" s="16"/>
      <c r="C3" s="16"/>
      <c r="D3" s="16"/>
      <c r="E3" s="17"/>
      <c r="F3" s="18" t="s">
        <v>4</v>
      </c>
      <c r="G3" s="19"/>
      <c r="H3" s="19"/>
      <c r="I3" s="20"/>
      <c r="J3" s="12"/>
      <c r="K3" s="13"/>
      <c r="L3" s="13"/>
      <c r="M3" s="13"/>
      <c r="N3" s="14"/>
    </row>
    <row r="4" ht="38" customHeight="1" spans="1:17">
      <c r="A4" s="21"/>
      <c r="B4" s="22"/>
      <c r="C4" s="22"/>
      <c r="D4" s="22"/>
      <c r="E4" s="23"/>
      <c r="F4" s="24"/>
      <c r="G4" s="25"/>
      <c r="H4" s="25"/>
      <c r="I4" s="26"/>
      <c r="J4" s="12"/>
      <c r="K4" s="13"/>
      <c r="L4" s="13"/>
      <c r="M4" s="13"/>
      <c r="N4" s="14"/>
    </row>
    <row r="5" ht="17.25" spans="1:17">
      <c r="A5" s="9" t="s">
        <v>5</v>
      </c>
      <c r="B5" s="10"/>
      <c r="C5" s="10"/>
      <c r="D5" s="10"/>
      <c r="E5" s="11"/>
      <c r="F5" s="9" t="s">
        <v>6</v>
      </c>
      <c r="G5" s="10"/>
      <c r="H5" s="10"/>
      <c r="I5" s="11"/>
      <c r="J5" s="12"/>
      <c r="K5" s="13"/>
      <c r="L5" s="13"/>
      <c r="M5" s="13"/>
      <c r="N5" s="14"/>
    </row>
    <row r="6" spans="1:17">
      <c r="A6" s="27"/>
      <c r="B6" s="28"/>
      <c r="C6" s="28"/>
      <c r="D6" s="28"/>
      <c r="E6" s="28"/>
      <c r="F6" s="28"/>
      <c r="G6" s="28"/>
      <c r="H6" s="28"/>
      <c r="I6" s="29"/>
      <c r="J6" s="30"/>
      <c r="K6" s="31"/>
      <c r="L6" s="31"/>
      <c r="M6" s="31"/>
      <c r="N6" s="32"/>
    </row>
    <row r="7" ht="21" spans="1:17">
      <c r="A7" s="33" t="s">
        <v>7</v>
      </c>
      <c r="B7" s="34" t="s">
        <v>8</v>
      </c>
      <c r="C7" s="34"/>
      <c r="D7" s="34"/>
      <c r="E7" s="34" t="s">
        <v>9</v>
      </c>
      <c r="F7" s="34"/>
      <c r="G7" s="34"/>
      <c r="H7" s="34" t="s">
        <v>10</v>
      </c>
      <c r="I7" s="34" t="s">
        <v>11</v>
      </c>
      <c r="J7" s="34" t="s">
        <v>12</v>
      </c>
      <c r="K7" s="34" t="s">
        <v>13</v>
      </c>
      <c r="L7" s="34" t="s">
        <v>14</v>
      </c>
      <c r="M7" s="34" t="s">
        <v>15</v>
      </c>
      <c r="N7" s="34" t="s">
        <v>16</v>
      </c>
      <c r="Q7" s="35"/>
    </row>
    <row r="8" ht="17.25" spans="1:17">
      <c r="A8" s="36">
        <v>1</v>
      </c>
      <c r="B8" s="37" t="s">
        <v>17</v>
      </c>
      <c r="C8" s="38"/>
      <c r="D8" s="39"/>
      <c r="E8" s="40" t="s">
        <v>18</v>
      </c>
      <c r="F8" s="40"/>
      <c r="G8" s="40"/>
      <c r="H8" s="40">
        <v>6</v>
      </c>
      <c r="I8" s="40"/>
      <c r="J8" s="41" t="str">
        <f>_xlfn.DISPIMG("ID_22D799D439064044AF4307061770B4C0",1)</f>
        <v>=DISPIMG("ID_22D799D439064044AF4307061770B4C0",1)</v>
      </c>
      <c r="K8" s="41">
        <v>56.8</v>
      </c>
      <c r="L8" s="41">
        <v>0.56</v>
      </c>
      <c r="M8" s="42" t="s">
        <v>19</v>
      </c>
      <c r="N8" s="41" t="s">
        <v>20</v>
      </c>
      <c r="Q8" s="43"/>
    </row>
    <row r="9" ht="17.25" spans="1:17">
      <c r="A9" s="44"/>
      <c r="B9" s="45"/>
      <c r="C9" s="46"/>
      <c r="D9" s="47"/>
      <c r="E9" s="40" t="s">
        <v>21</v>
      </c>
      <c r="F9" s="40"/>
      <c r="G9" s="40"/>
      <c r="H9" s="40">
        <v>6</v>
      </c>
      <c r="I9" s="40"/>
      <c r="J9" s="48"/>
      <c r="K9" s="48"/>
      <c r="L9" s="48"/>
      <c r="M9" s="42"/>
      <c r="N9" s="48"/>
      <c r="Q9" s="43"/>
    </row>
    <row r="10" ht="17.25" spans="1:17">
      <c r="A10" s="44"/>
      <c r="B10" s="45"/>
      <c r="C10" s="46"/>
      <c r="D10" s="47"/>
      <c r="E10" s="40" t="s">
        <v>22</v>
      </c>
      <c r="F10" s="40"/>
      <c r="G10" s="40"/>
      <c r="H10" s="40">
        <v>6</v>
      </c>
      <c r="I10" s="40"/>
      <c r="J10" s="48"/>
      <c r="K10" s="48"/>
      <c r="L10" s="48"/>
      <c r="M10" s="42"/>
      <c r="N10" s="48"/>
      <c r="Q10" s="43"/>
    </row>
    <row r="11" ht="17.25" spans="1:17">
      <c r="A11" s="44"/>
      <c r="B11" s="45"/>
      <c r="C11" s="46"/>
      <c r="D11" s="47"/>
      <c r="E11" s="40" t="s">
        <v>23</v>
      </c>
      <c r="F11" s="40"/>
      <c r="G11" s="40"/>
      <c r="H11" s="40">
        <v>6</v>
      </c>
      <c r="I11" s="40"/>
      <c r="J11" s="48"/>
      <c r="K11" s="48"/>
      <c r="L11" s="48"/>
      <c r="M11" s="42"/>
      <c r="N11" s="48"/>
      <c r="Q11" s="43"/>
    </row>
    <row r="12" ht="17.25" spans="1:17">
      <c r="A12" s="49">
        <v>2</v>
      </c>
      <c r="B12" s="50" t="s">
        <v>24</v>
      </c>
      <c r="C12" s="50"/>
      <c r="D12" s="50"/>
      <c r="E12" s="40" t="s">
        <v>25</v>
      </c>
      <c r="F12" s="40"/>
      <c r="G12" s="40"/>
      <c r="H12" s="40">
        <v>6</v>
      </c>
      <c r="I12" s="40"/>
      <c r="J12" s="51" t="str">
        <f>_xlfn.DISPIMG("ID_7F791FBFB18446B39A7AD9C9804A9826",1)</f>
        <v>=DISPIMG("ID_7F791FBFB18446B39A7AD9C9804A9826",1)</v>
      </c>
      <c r="K12" s="52">
        <v>71</v>
      </c>
      <c r="L12" s="41">
        <v>0.7</v>
      </c>
      <c r="M12" s="53" t="s">
        <v>26</v>
      </c>
      <c r="N12" s="54" t="s">
        <v>20</v>
      </c>
    </row>
    <row r="13" ht="17.25" spans="1:17">
      <c r="A13" s="49"/>
      <c r="B13" s="50"/>
      <c r="C13" s="50"/>
      <c r="D13" s="50"/>
      <c r="E13" s="40" t="s">
        <v>27</v>
      </c>
      <c r="F13" s="40"/>
      <c r="G13" s="40"/>
      <c r="H13" s="40">
        <v>6</v>
      </c>
      <c r="I13" s="40"/>
      <c r="J13" s="51"/>
      <c r="K13" s="52"/>
      <c r="L13" s="48"/>
      <c r="M13" s="53"/>
      <c r="N13" s="55"/>
    </row>
    <row r="14" ht="17.25" spans="1:17">
      <c r="A14" s="49"/>
      <c r="B14" s="50"/>
      <c r="C14" s="50"/>
      <c r="D14" s="50"/>
      <c r="E14" s="40" t="s">
        <v>28</v>
      </c>
      <c r="F14" s="40"/>
      <c r="G14" s="40"/>
      <c r="H14" s="40">
        <v>6</v>
      </c>
      <c r="I14" s="40"/>
      <c r="J14" s="51"/>
      <c r="K14" s="52"/>
      <c r="L14" s="48"/>
      <c r="M14" s="53"/>
      <c r="N14" s="55"/>
    </row>
    <row r="15" ht="17.25" spans="1:17">
      <c r="A15" s="49"/>
      <c r="B15" s="50"/>
      <c r="C15" s="50"/>
      <c r="D15" s="50"/>
      <c r="E15" s="40" t="s">
        <v>29</v>
      </c>
      <c r="F15" s="40"/>
      <c r="G15" s="40"/>
      <c r="H15" s="40">
        <v>6</v>
      </c>
      <c r="I15" s="40"/>
      <c r="J15" s="51"/>
      <c r="K15" s="52"/>
      <c r="L15" s="48"/>
      <c r="M15" s="53"/>
      <c r="N15" s="55"/>
    </row>
    <row r="16" ht="17.25" spans="1:17">
      <c r="A16" s="49"/>
      <c r="B16" s="50"/>
      <c r="C16" s="50"/>
      <c r="D16" s="50"/>
      <c r="E16" s="40" t="s">
        <v>30</v>
      </c>
      <c r="F16" s="40"/>
      <c r="G16" s="40"/>
      <c r="H16" s="40">
        <v>6</v>
      </c>
      <c r="I16" s="40"/>
      <c r="J16" s="51"/>
      <c r="K16" s="52"/>
      <c r="L16" s="56"/>
      <c r="M16" s="53"/>
      <c r="N16" s="55"/>
    </row>
    <row r="19" ht="20.25" spans="11:13">
      <c r="K19" s="57" t="s">
        <v>31</v>
      </c>
      <c r="L19" s="57" t="s">
        <v>32</v>
      </c>
      <c r="M19" s="57" t="s">
        <v>33</v>
      </c>
    </row>
    <row r="20" ht="20.25" spans="11:13">
      <c r="K20" s="58">
        <f>SUM(K8:K19)</f>
        <v>127.8</v>
      </c>
      <c r="L20" s="58">
        <f>SUM(L8:L19)</f>
        <v>1.26</v>
      </c>
      <c r="M20" s="59">
        <f>K20/L20</f>
        <v>101.428571428571</v>
      </c>
    </row>
  </sheetData>
  <mergeCells count="33">
    <mergeCell ref="A1:I1"/>
    <mergeCell ref="F2:I2"/>
    <mergeCell ref="A5:E5"/>
    <mergeCell ref="F5:I5"/>
    <mergeCell ref="A6:I6"/>
    <mergeCell ref="B7:D7"/>
    <mergeCell ref="E7:G7"/>
    <mergeCell ref="E8:G8"/>
    <mergeCell ref="E9:G9"/>
    <mergeCell ref="E10:G10"/>
    <mergeCell ref="E11:G11"/>
    <mergeCell ref="E12:G12"/>
    <mergeCell ref="E13:G13"/>
    <mergeCell ref="E14:G14"/>
    <mergeCell ref="E15:G15"/>
    <mergeCell ref="E16:G16"/>
    <mergeCell ref="A8:A11"/>
    <mergeCell ref="A12:A16"/>
    <mergeCell ref="J8:J11"/>
    <mergeCell ref="J12:J16"/>
    <mergeCell ref="K8:K11"/>
    <mergeCell ref="K12:K16"/>
    <mergeCell ref="L8:L11"/>
    <mergeCell ref="L12:L16"/>
    <mergeCell ref="M8:M11"/>
    <mergeCell ref="M12:M16"/>
    <mergeCell ref="N8:N11"/>
    <mergeCell ref="N12:N16"/>
    <mergeCell ref="J1:N6"/>
    <mergeCell ref="A2:E4"/>
    <mergeCell ref="F3:I4"/>
    <mergeCell ref="B8:D11"/>
    <mergeCell ref="B12:D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Baby's breath</cp:lastModifiedBy>
  <dcterms:created xsi:type="dcterms:W3CDTF">2026-03-03T06:37:00Z</dcterms:created>
  <dcterms:modified xsi:type="dcterms:W3CDTF">2026-03-03T07:35:48Z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684B0794969D49E9A4CFADCE31F87983_11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