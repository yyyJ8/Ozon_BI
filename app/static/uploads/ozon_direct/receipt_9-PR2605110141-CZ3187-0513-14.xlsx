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BB5BAF4E63E4EBD86FC5E3B3777B1A5" descr="62b0348d59c781e4097d50493e7988a1"/>
        <xdr:cNvPicPr/>
      </xdr:nvPicPr>
      <xdr:blipFill>
        <a:blip r:embed="rId1"/>
        <a:stretch>
          <a:fillRect/>
        </a:stretch>
      </xdr:blipFill>
      <xdr:spPr>
        <a:xfrm>
          <a:off x="0" y="0"/>
          <a:ext cx="8448675" cy="8181975"/>
        </a:xfrm>
        <a:prstGeom prst="rect">
          <a:avLst/>
        </a:prstGeom>
      </xdr:spPr>
    </xdr:pic>
  </etc:cellImage>
  <etc:cellImage>
    <xdr:pic>
      <xdr:nvPicPr>
        <xdr:cNvPr id="4" name="ID_351A9B191D3248E99ACBFDED11A0A925" descr="f1525f218f340c90f1e136463f5f7bea"/>
        <xdr:cNvPicPr/>
      </xdr:nvPicPr>
      <xdr:blipFill>
        <a:blip r:embed="rId2"/>
        <a:stretch>
          <a:fillRect/>
        </a:stretch>
      </xdr:blipFill>
      <xdr:spPr>
        <a:xfrm>
          <a:off x="0" y="0"/>
          <a:ext cx="8401050" cy="8001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<sst xmlns="http://schemas.openxmlformats.org/spreadsheetml/2006/main" count="36" uniqueCount="36">
  <si>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</si>
  <si>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</si>
  <si>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</si>
  <si>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</si>
  <si>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</si>
  <si>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CZ3187-0513-14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</si>
  <si>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</si>
  <si>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</si>
  <si>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</si>
  <si>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</si>
  <si>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</si>
  <si>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</si>
  <si>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</si>
  <si>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</si>
  <si>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</si>
  <si>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41986-Y07U0001-A01
500L园林雨水桶
PR2605110141
32套</t>
  </si>
  <si>
    <t>CZ3187-0513-14/1</t>
  </si>
  <si>
    <t>雨水桶</t>
  </si>
  <si>
    <t>PVC</t>
  </si>
  <si>
    <t>CZ3187-0513-14/2</t>
  </si>
  <si>
    <t>CZ3187-0513-14/3</t>
  </si>
  <si>
    <t>CZ3187-0513-14/4</t>
  </si>
  <si>
    <t>CZ3187-0513-14/5</t>
  </si>
  <si>
    <t>CZ3187-0513-14/6</t>
  </si>
  <si>
    <t>CZ3187-0513-14/7</t>
  </si>
  <si>
    <t>CZ3187-0513-14/8</t>
  </si>
  <si>
    <t>41987-Y07U0001-A01
225L园林雨水桶
PR2605110142
30套</t>
  </si>
  <si>
    <t>CZ3187-0513-14/9</t>
  </si>
  <si>
    <t>CZ3187-0513-14/10</t>
  </si>
  <si>
    <t>CZ3187-0513-14/11</t>
  </si>
  <si>
    <t>CZ3187-0513-14/12</t>
  </si>
  <si>
    <t>CZ3187-0513-14/13</t>
  </si>
  <si>
    <t>CZ3187-0513-14/14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</si>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</sst>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workbookViewId="0">
      <selection activeCell="H28" sqref="H28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4</v>
      </c>
      <c r="I8" s="9" t="str">
        <f>_xlfn.DISPIMG("ID_4BB5BAF4E63E4EBD86FC5E3B3777B1A5",1)</f>
        <v>=DISPIMG("ID_4BB5BAF4E63E4EBD86FC5E3B3777B1A5",1)</v>
      </c>
      <c r="J8" s="9">
        <v>116.8</v>
      </c>
      <c r="K8" s="9">
        <v>0.66</v>
      </c>
      <c r="L8" s="13" t="s">
        <v>17</v>
      </c>
      <c r="M8" s="13" t="s">
        <v>18</v>
      </c>
      <c r="O8" s="6"/>
      <c r="P8" s="6"/>
      <c r="Q8" s="6"/>
    </row>
    <row r="9" ht="23" customHeight="1" spans="1:20">
      <c r="A9" s="9"/>
      <c r="B9" s="10"/>
      <c r="C9" s="10"/>
      <c r="D9" s="10"/>
      <c r="E9" s="11" t="s">
        <v>19</v>
      </c>
      <c r="F9" s="11"/>
      <c r="G9" s="11"/>
      <c r="H9" s="12">
        <v>4</v>
      </c>
      <c r="I9" s="9"/>
      <c r="J9" s="9"/>
      <c r="K9" s="9"/>
      <c r="L9" s="14"/>
      <c r="M9" s="14"/>
      <c r="O9" s="6"/>
      <c r="P9" s="15"/>
      <c r="Q9" s="6"/>
    </row>
    <row r="10" ht="23" customHeight="1" spans="1:20">
      <c r="A10" s="9"/>
      <c r="B10" s="10"/>
      <c r="C10" s="10"/>
      <c r="D10" s="10"/>
      <c r="E10" s="11" t="s">
        <v>20</v>
      </c>
      <c r="F10" s="11"/>
      <c r="G10" s="11"/>
      <c r="H10" s="12">
        <v>4</v>
      </c>
      <c r="I10" s="9"/>
      <c r="J10" s="9"/>
      <c r="K10" s="9"/>
      <c r="L10" s="14"/>
      <c r="M10" s="14"/>
      <c r="O10" s="6"/>
      <c r="P10" s="15"/>
      <c r="Q10" s="6"/>
    </row>
    <row r="11" ht="23" customHeight="1" spans="1:20">
      <c r="A11" s="9"/>
      <c r="B11" s="10"/>
      <c r="C11" s="10"/>
      <c r="D11" s="10"/>
      <c r="E11" s="11" t="s">
        <v>21</v>
      </c>
      <c r="F11" s="11"/>
      <c r="G11" s="11"/>
      <c r="H11" s="12">
        <v>4</v>
      </c>
      <c r="I11" s="9"/>
      <c r="J11" s="9"/>
      <c r="K11" s="9"/>
      <c r="L11" s="14"/>
      <c r="M11" s="14"/>
      <c r="P11" s="6"/>
      <c r="Q11" s="6"/>
      <c r="S11"/>
    </row>
    <row r="12" ht="23" customHeight="1" spans="1:20">
      <c r="A12" s="9"/>
      <c r="B12" s="10"/>
      <c r="C12" s="10"/>
      <c r="D12" s="10"/>
      <c r="E12" s="11" t="s">
        <v>22</v>
      </c>
      <c r="F12" s="11"/>
      <c r="G12" s="11"/>
      <c r="H12" s="12">
        <v>4</v>
      </c>
      <c r="I12" s="9"/>
      <c r="J12" s="9"/>
      <c r="K12" s="9"/>
      <c r="L12" s="14"/>
      <c r="M12" s="14"/>
      <c r="P12" s="6"/>
      <c r="Q12" s="6"/>
      <c r="T12"/>
    </row>
    <row r="13" ht="17.25" spans="1:20">
      <c r="A13" s="9"/>
      <c r="B13" s="10"/>
      <c r="C13" s="10"/>
      <c r="D13" s="10"/>
      <c r="E13" s="11" t="s">
        <v>23</v>
      </c>
      <c r="F13" s="11"/>
      <c r="G13" s="11"/>
      <c r="H13" s="12">
        <v>4</v>
      </c>
      <c r="I13" s="9"/>
      <c r="J13" s="9"/>
      <c r="K13" s="9"/>
      <c r="L13" s="14"/>
      <c r="M13" s="14"/>
      <c r="O13"/>
      <c r="P13" s="6"/>
      <c r="Q13" s="6"/>
    </row>
    <row r="14" ht="17.25" spans="1:20">
      <c r="A14" s="9"/>
      <c r="B14" s="10"/>
      <c r="C14" s="10"/>
      <c r="D14" s="10"/>
      <c r="E14" s="11" t="s">
        <v>24</v>
      </c>
      <c r="F14" s="11"/>
      <c r="G14" s="11"/>
      <c r="H14" s="12">
        <v>4</v>
      </c>
      <c r="I14" s="9"/>
      <c r="J14" s="9"/>
      <c r="K14" s="9"/>
      <c r="L14" s="14"/>
      <c r="M14" s="14"/>
      <c r="P14" s="6"/>
      <c r="Q14" s="6"/>
    </row>
    <row r="15" ht="17.25" spans="1:20">
      <c r="A15" s="9"/>
      <c r="B15" s="10"/>
      <c r="C15" s="10"/>
      <c r="D15" s="10"/>
      <c r="E15" s="11" t="s">
        <v>25</v>
      </c>
      <c r="F15" s="11"/>
      <c r="G15" s="11"/>
      <c r="H15" s="12">
        <v>4</v>
      </c>
      <c r="I15" s="9"/>
      <c r="J15" s="9"/>
      <c r="K15" s="9"/>
      <c r="L15" s="14"/>
      <c r="M15" s="14"/>
    </row>
    <row r="16" ht="21" customHeight="1" spans="1:20">
      <c r="A16" s="9">
        <v>2</v>
      </c>
      <c r="B16" s="10" t="s">
        <v>26</v>
      </c>
      <c r="C16" s="10"/>
      <c r="D16" s="10"/>
      <c r="E16" s="11" t="s">
        <v>27</v>
      </c>
      <c r="F16" s="11"/>
      <c r="G16" s="11"/>
      <c r="H16" s="12">
        <v>5</v>
      </c>
      <c r="I16" s="9" t="str">
        <f>_xlfn.DISPIMG("ID_351A9B191D3248E99ACBFDED11A0A925",1)</f>
        <v>=DISPIMG("ID_351A9B191D3248E99ACBFDED11A0A925",1)</v>
      </c>
      <c r="J16" s="9">
        <v>86.4</v>
      </c>
      <c r="K16" s="9">
        <v>0.43</v>
      </c>
      <c r="L16" s="14"/>
      <c r="M16" s="14"/>
    </row>
    <row r="17" ht="21" customHeight="1" spans="1:13">
      <c r="A17" s="9"/>
      <c r="B17" s="10"/>
      <c r="C17" s="10"/>
      <c r="D17" s="10"/>
      <c r="E17" s="11" t="s">
        <v>28</v>
      </c>
      <c r="F17" s="11"/>
      <c r="G17" s="11"/>
      <c r="H17" s="12">
        <v>5</v>
      </c>
      <c r="I17" s="9"/>
      <c r="J17" s="9"/>
      <c r="K17" s="9"/>
      <c r="L17" s="14"/>
      <c r="M17" s="14"/>
    </row>
    <row r="18" ht="21" customHeight="1" spans="1:13">
      <c r="A18" s="9"/>
      <c r="B18" s="10"/>
      <c r="C18" s="10"/>
      <c r="D18" s="10"/>
      <c r="E18" s="11" t="s">
        <v>29</v>
      </c>
      <c r="F18" s="11"/>
      <c r="G18" s="11"/>
      <c r="H18" s="12">
        <v>5</v>
      </c>
      <c r="I18" s="9"/>
      <c r="J18" s="9"/>
      <c r="K18" s="9"/>
      <c r="L18" s="14"/>
      <c r="M18" s="14"/>
    </row>
    <row r="19" ht="21" customHeight="1" spans="1:13">
      <c r="A19" s="9"/>
      <c r="B19" s="10"/>
      <c r="C19" s="10"/>
      <c r="D19" s="10"/>
      <c r="E19" s="11" t="s">
        <v>30</v>
      </c>
      <c r="F19" s="11"/>
      <c r="G19" s="11"/>
      <c r="H19" s="12">
        <v>5</v>
      </c>
      <c r="I19" s="9"/>
      <c r="J19" s="9"/>
      <c r="K19" s="9"/>
      <c r="L19" s="14"/>
      <c r="M19" s="14"/>
    </row>
    <row r="20" ht="21" customHeight="1" spans="1:13">
      <c r="A20" s="9"/>
      <c r="B20" s="10"/>
      <c r="C20" s="10"/>
      <c r="D20" s="10"/>
      <c r="E20" s="11" t="s">
        <v>31</v>
      </c>
      <c r="F20" s="11"/>
      <c r="G20" s="11"/>
      <c r="H20" s="12">
        <v>5</v>
      </c>
      <c r="I20" s="9"/>
      <c r="J20" s="9"/>
      <c r="K20" s="9"/>
      <c r="L20" s="14"/>
      <c r="M20" s="14"/>
    </row>
    <row r="21" ht="21" customHeight="1" spans="1:13">
      <c r="A21" s="9"/>
      <c r="B21" s="10"/>
      <c r="C21" s="10"/>
      <c r="D21" s="10"/>
      <c r="E21" s="11" t="s">
        <v>32</v>
      </c>
      <c r="F21" s="11"/>
      <c r="G21" s="11"/>
      <c r="H21" s="12">
        <v>5</v>
      </c>
      <c r="I21" s="9"/>
      <c r="J21" s="9"/>
      <c r="K21" s="9"/>
      <c r="L21" s="16"/>
      <c r="M21" s="16"/>
    </row>
    <row r="22" ht="17.25" spans="1:13">
      <c r="E22" s="17"/>
      <c r="F22" s="17"/>
      <c r="G22" s="17"/>
    </row>
    <row r="23" ht="17.25" spans="1:13">
      <c r="E23" s="18"/>
      <c r="F23" s="18"/>
      <c r="G23" s="18"/>
    </row>
    <row r="24" ht="17.25" spans="1:13">
      <c r="E24" s="19"/>
      <c r="F24" s="19"/>
      <c r="G24" s="19"/>
      <c r="J24" s="20" t="s">
        <v>33</v>
      </c>
      <c r="K24" s="20" t="s">
        <v>34</v>
      </c>
      <c r="L24" s="20" t="s">
        <v>35</v>
      </c>
    </row>
    <row r="25" ht="17.25" spans="1:13">
      <c r="J25" s="20">
        <f>SUM(J8:J24)</f>
        <v>203.2</v>
      </c>
      <c r="K25" s="20">
        <f>SUM(K8:K24)</f>
        <v>1.09</v>
      </c>
      <c r="L25" s="21">
        <f>J25/K25</f>
        <v>186.422018348624</v>
      </c>
    </row>
  </sheetData>
  <mergeCells count="37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3:G23"/>
    <mergeCell ref="A8:A15"/>
    <mergeCell ref="A16:A21"/>
    <mergeCell ref="I8:I15"/>
    <mergeCell ref="I16:I21"/>
    <mergeCell ref="J8:J15"/>
    <mergeCell ref="J16:J21"/>
    <mergeCell ref="K8:K15"/>
    <mergeCell ref="K16:K21"/>
    <mergeCell ref="L8:L21"/>
    <mergeCell ref="M8:M21"/>
    <mergeCell ref="A2:E4"/>
    <mergeCell ref="I1:M6"/>
    <mergeCell ref="F3:H4"/>
    <mergeCell ref="B8:D15"/>
    <mergeCell ref="B16:D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2026-05-13T02:21:34Z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A556A7583C3A4D3DAEF3DC741A070826_13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