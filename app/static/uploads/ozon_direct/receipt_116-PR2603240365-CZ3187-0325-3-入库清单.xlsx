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D346AF0FE2D4B56933B9D36F72FF6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7550" y="2327275"/>
          <a:ext cx="2743200" cy="2590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<sst xmlns="http://schemas.openxmlformats.org/spreadsheetml/2006/main" count="24" uniqueCount="24">
  <si>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</si>
  <si>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</si>
  <si>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</si>
  <si>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</si>
  <si>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</si>
  <si>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CZ3187-0325-3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</si>
  <si>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</si>
  <si>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</si>
  <si>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</si>
  <si>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</si>
  <si>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</si>
  <si>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</si>
  <si>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</si>
  <si>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</si>
  <si>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</si>
  <si>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31972-Y07U0002-B03
60*90双面海报架</t>
  </si>
  <si>
    <t>CZ3187-0325-3/1</t>
  </si>
  <si>
    <t>海报架</t>
  </si>
  <si>
    <t>铁</t>
  </si>
  <si>
    <t>CZ3187-0325-3/2</t>
  </si>
  <si>
    <t>CZ3187-0325-3/3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</si>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</sst>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workbookViewId="0">
      <selection activeCell="F5" sqref="F5:H5"/>
    </sheetView>
  </sheetViews>
  <sheetFormatPr defaultColWidth="9" defaultRowHeight="13.5"/>
  <cols>
    <col min="8" max="8" width="13.375" customWidth="1"/>
    <col min="9" max="9" width="16.125" customWidth="1"/>
    <col min="12" max="12" width="12.125" customWidth="1"/>
    <col min="13" max="13" width="11.375"/>
  </cols>
  <sheetData>
    <row r="1" ht="25.5" spans="1:17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3"/>
      <c r="L1" s="3"/>
      <c r="M1" s="4"/>
    </row>
    <row r="2" ht="25" customHeight="1" spans="1:17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1"/>
      <c r="L2" s="11"/>
      <c r="M2" s="12"/>
    </row>
    <row r="3" ht="25" customHeight="1" spans="1:17">
      <c r="A3" s="13"/>
      <c r="B3" s="14"/>
      <c r="C3" s="14"/>
      <c r="D3" s="14"/>
      <c r="E3" s="15"/>
      <c r="F3" s="16" t="s">
        <v>4</v>
      </c>
      <c r="G3" s="17"/>
      <c r="H3" s="17"/>
      <c r="I3" s="10"/>
      <c r="J3" s="11"/>
      <c r="K3" s="11"/>
      <c r="L3" s="11"/>
      <c r="M3" s="12"/>
    </row>
    <row r="4" ht="38" customHeight="1" spans="1:17">
      <c r="A4" s="18"/>
      <c r="B4" s="19"/>
      <c r="C4" s="19"/>
      <c r="D4" s="19"/>
      <c r="E4" s="20"/>
      <c r="F4" s="21"/>
      <c r="G4" s="22"/>
      <c r="H4" s="22"/>
      <c r="I4" s="10"/>
      <c r="J4" s="11"/>
      <c r="K4" s="11"/>
      <c r="L4" s="11"/>
      <c r="M4" s="12"/>
    </row>
    <row r="5" ht="17.25" spans="1:17">
      <c r="A5" s="8"/>
      <c r="B5" s="9"/>
      <c r="C5" s="9"/>
      <c r="D5" s="9"/>
      <c r="E5" s="23"/>
      <c r="F5" s="8" t="s">
        <v>5</v>
      </c>
      <c r="G5" s="9"/>
      <c r="H5" s="9"/>
      <c r="I5" s="10"/>
      <c r="J5" s="11"/>
      <c r="K5" s="11"/>
      <c r="L5" s="11"/>
      <c r="M5" s="12"/>
    </row>
    <row r="6" ht="16.5" spans="1:17">
      <c r="A6" s="24"/>
      <c r="B6" s="25"/>
      <c r="C6" s="25"/>
      <c r="D6" s="25"/>
      <c r="E6" s="25"/>
      <c r="F6" s="25"/>
      <c r="G6" s="25"/>
      <c r="H6" s="25"/>
      <c r="I6" s="26"/>
      <c r="J6" s="27"/>
      <c r="K6" s="27"/>
      <c r="L6" s="27"/>
      <c r="M6" s="28"/>
    </row>
    <row r="7" ht="18.75" spans="1:17">
      <c r="A7" s="29" t="s">
        <v>6</v>
      </c>
      <c r="B7" s="30" t="s">
        <v>7</v>
      </c>
      <c r="C7" s="30"/>
      <c r="D7" s="30"/>
      <c r="E7" s="30" t="s">
        <v>8</v>
      </c>
      <c r="F7" s="30"/>
      <c r="G7" s="30"/>
      <c r="H7" s="30" t="s">
        <v>9</v>
      </c>
      <c r="I7" s="30" t="s">
        <v>10</v>
      </c>
      <c r="J7" s="30" t="s">
        <v>11</v>
      </c>
      <c r="K7" s="30" t="s">
        <v>12</v>
      </c>
      <c r="L7" s="30" t="s">
        <v>13</v>
      </c>
      <c r="M7" s="30" t="s">
        <v>14</v>
      </c>
      <c r="P7" s="31"/>
    </row>
    <row r="8" ht="42" customHeight="1" spans="1:17">
      <c r="A8" s="32">
        <v>1</v>
      </c>
      <c r="B8" s="33" t="s">
        <v>15</v>
      </c>
      <c r="C8" s="34"/>
      <c r="D8" s="35"/>
      <c r="E8" s="36" t="s">
        <v>16</v>
      </c>
      <c r="F8" s="36"/>
      <c r="G8" s="36"/>
      <c r="H8" s="36">
        <v>10</v>
      </c>
      <c r="I8" s="37" t="str">
        <f>_xlfn.DISPIMG("ID_3D346AF0FE2D4B56933B9D36F72FF617",1)</f>
        <v>=DISPIMG("ID_3D346AF0FE2D4B56933B9D36F72FF617",1)</v>
      </c>
      <c r="J8" s="38">
        <v>69.8</v>
      </c>
      <c r="K8" s="39">
        <v>0.29</v>
      </c>
      <c r="L8" s="40" t="s">
        <v>17</v>
      </c>
      <c r="M8" s="39" t="s">
        <v>18</v>
      </c>
      <c r="P8" s="31"/>
      <c r="Q8" s="31"/>
    </row>
    <row r="9" ht="27" customHeight="1" spans="1:17">
      <c r="A9" s="32"/>
      <c r="B9" s="41"/>
      <c r="C9" s="42"/>
      <c r="D9" s="43"/>
      <c r="E9" s="36" t="s">
        <v>19</v>
      </c>
      <c r="F9" s="36"/>
      <c r="G9" s="36"/>
      <c r="H9" s="36">
        <v>10</v>
      </c>
      <c r="I9" s="44"/>
      <c r="J9" s="45"/>
      <c r="K9" s="46"/>
      <c r="L9" s="47"/>
      <c r="M9" s="46"/>
      <c r="P9" s="31"/>
      <c r="Q9" s="31"/>
    </row>
    <row r="10" ht="27" customHeight="1" spans="1:17">
      <c r="A10" s="32"/>
      <c r="B10" s="48"/>
      <c r="C10" s="49"/>
      <c r="D10" s="50"/>
      <c r="E10" s="36" t="s">
        <v>20</v>
      </c>
      <c r="F10" s="36"/>
      <c r="G10" s="36"/>
      <c r="H10" s="36">
        <v>10</v>
      </c>
      <c r="I10" s="44"/>
      <c r="J10" s="45"/>
      <c r="K10" s="46"/>
      <c r="L10" s="47"/>
      <c r="M10" s="46"/>
      <c r="P10" s="31"/>
      <c r="Q10" s="31"/>
    </row>
    <row r="13" ht="17.25" spans="1:17">
      <c r="J13" s="51" t="s">
        <v>21</v>
      </c>
      <c r="K13" s="51" t="s">
        <v>22</v>
      </c>
      <c r="L13" s="51" t="s">
        <v>23</v>
      </c>
    </row>
    <row r="14" ht="17.25" spans="1:17">
      <c r="J14" s="51">
        <f>SUM(J8:J13)</f>
        <v>69.8</v>
      </c>
      <c r="K14" s="51">
        <f>SUM(K8:K13)</f>
        <v>0.29</v>
      </c>
      <c r="L14" s="52">
        <f>J14/K14</f>
        <v>240.689655172414</v>
      </c>
    </row>
  </sheetData>
  <mergeCells count="2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A8:A10"/>
    <mergeCell ref="I8:I10"/>
    <mergeCell ref="J8:J10"/>
    <mergeCell ref="K8:K10"/>
    <mergeCell ref="L8:L10"/>
    <mergeCell ref="M8:M10"/>
    <mergeCell ref="A2:E4"/>
    <mergeCell ref="B8:D10"/>
    <mergeCell ref="I1:M6"/>
    <mergeCell ref="F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2026-03-24T09:04:54Z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148B6F57038149A18AB615A1BBE3C0F5_13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