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DFEE1ED239147818628AE3614CCCC6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7550" y="2174875"/>
          <a:ext cx="4248150" cy="64103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<sst xmlns="http://schemas.openxmlformats.org/spreadsheetml/2006/main" count="25" uniqueCount="25">
  <si>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</si>
  <si>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</si>
  <si>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</si>
  <si>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</si>
  <si>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</si>
  <si>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CZ3187-0323-3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</si>
  <si>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</si>
  <si>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</si>
  <si>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</si>
  <si>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</si>
  <si>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</si>
  <si>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</si>
  <si>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</si>
  <si>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</si>
  <si>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</si>
  <si>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</si>
  <si>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35352-Y07U0002-B02
牛津布面包架子罩</t>
  </si>
  <si>
    <t>CZ3187-0323-3/1</t>
  </si>
  <si>
    <t>牛津布面包架子罩</t>
  </si>
  <si>
    <t>牛津布</t>
  </si>
  <si>
    <t>CZ3187-0323-3/2</t>
  </si>
  <si>
    <t>CZ3187-0323-3/3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</si>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</sst>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workbookViewId="0">
      <selection activeCell="Q9" sqref="Q9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2.125" customWidth="1"/>
    <col min="14" max="14" width="11.375"/>
  </cols>
  <sheetData>
    <row r="1" ht="25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8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8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8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8">
      <c r="A5" s="8"/>
      <c r="B5" s="9"/>
      <c r="C5" s="9"/>
      <c r="D5" s="9"/>
      <c r="E5" s="10"/>
      <c r="F5" s="8" t="s">
        <v>5</v>
      </c>
      <c r="G5" s="9"/>
      <c r="H5" s="9"/>
      <c r="I5" s="10"/>
      <c r="J5" s="11"/>
      <c r="K5" s="12"/>
      <c r="L5" s="12"/>
      <c r="M5" s="12"/>
      <c r="N5" s="13"/>
    </row>
    <row r="6" ht="16.5" spans="1:18">
      <c r="A6" s="26"/>
      <c r="B6" s="27"/>
      <c r="C6" s="27"/>
      <c r="D6" s="27"/>
      <c r="E6" s="27"/>
      <c r="F6" s="27"/>
      <c r="G6" s="27"/>
      <c r="H6" s="27"/>
      <c r="I6" s="28"/>
      <c r="J6" s="29"/>
      <c r="K6" s="30"/>
      <c r="L6" s="30"/>
      <c r="M6" s="30"/>
      <c r="N6" s="31"/>
    </row>
    <row r="7" ht="18.75" spans="1:18">
      <c r="A7" s="32" t="s">
        <v>6</v>
      </c>
      <c r="B7" s="33" t="s">
        <v>7</v>
      </c>
      <c r="C7" s="33"/>
      <c r="D7" s="33"/>
      <c r="E7" s="33" t="s">
        <v>8</v>
      </c>
      <c r="F7" s="33"/>
      <c r="G7" s="33"/>
      <c r="H7" s="33" t="s">
        <v>9</v>
      </c>
      <c r="I7" s="33" t="s">
        <v>10</v>
      </c>
      <c r="J7" s="33" t="s">
        <v>11</v>
      </c>
      <c r="K7" s="33" t="s">
        <v>12</v>
      </c>
      <c r="L7" s="33" t="s">
        <v>13</v>
      </c>
      <c r="M7" s="33" t="s">
        <v>14</v>
      </c>
      <c r="N7" s="33" t="s">
        <v>15</v>
      </c>
      <c r="Q7" s="34"/>
    </row>
    <row r="8" ht="17.25" spans="1:18">
      <c r="A8" s="35">
        <v>1</v>
      </c>
      <c r="B8" s="36" t="s">
        <v>16</v>
      </c>
      <c r="C8" s="36"/>
      <c r="D8" s="36"/>
      <c r="E8" s="37" t="s">
        <v>17</v>
      </c>
      <c r="F8" s="37"/>
      <c r="G8" s="37"/>
      <c r="H8" s="37">
        <v>20</v>
      </c>
      <c r="I8" s="37"/>
      <c r="J8" s="35" t="str">
        <f>_xlfn.DISPIMG("ID_5DFEE1ED239147818628AE3614CCCC68",1)</f>
        <v>=DISPIMG("ID_5DFEE1ED239147818628AE3614CCCC68",1)</v>
      </c>
      <c r="K8" s="35">
        <v>40.1</v>
      </c>
      <c r="L8" s="35">
        <v>0.21</v>
      </c>
      <c r="M8" s="36" t="s">
        <v>18</v>
      </c>
      <c r="N8" s="35" t="s">
        <v>19</v>
      </c>
      <c r="Q8" s="34"/>
      <c r="R8" s="34"/>
    </row>
    <row r="9" ht="17.25" spans="1:18">
      <c r="A9" s="35"/>
      <c r="B9" s="36"/>
      <c r="C9" s="36"/>
      <c r="D9" s="36"/>
      <c r="E9" s="37" t="s">
        <v>20</v>
      </c>
      <c r="F9" s="37"/>
      <c r="G9" s="37"/>
      <c r="H9" s="37">
        <v>20</v>
      </c>
      <c r="I9" s="37"/>
      <c r="J9" s="35"/>
      <c r="K9" s="35"/>
      <c r="L9" s="35"/>
      <c r="M9" s="36"/>
      <c r="N9" s="35"/>
      <c r="Q9" s="34"/>
      <c r="R9" s="34"/>
    </row>
    <row r="10" ht="17.25" spans="1:18">
      <c r="A10" s="35"/>
      <c r="B10" s="36"/>
      <c r="C10" s="36"/>
      <c r="D10" s="36"/>
      <c r="E10" s="37" t="s">
        <v>21</v>
      </c>
      <c r="F10" s="37"/>
      <c r="G10" s="37"/>
      <c r="H10" s="37">
        <v>20</v>
      </c>
      <c r="I10" s="37"/>
      <c r="J10" s="35"/>
      <c r="K10" s="35"/>
      <c r="L10" s="35"/>
      <c r="M10" s="36"/>
      <c r="N10" s="35"/>
      <c r="Q10" s="34"/>
      <c r="R10" s="34"/>
    </row>
    <row r="14" ht="17.25" spans="1:18">
      <c r="K14" s="38" t="s">
        <v>22</v>
      </c>
      <c r="L14" s="38" t="s">
        <v>23</v>
      </c>
      <c r="M14" s="38" t="s">
        <v>24</v>
      </c>
    </row>
    <row r="15" ht="17.25" spans="1:18">
      <c r="K15" s="38">
        <f>SUM(K8:K14)</f>
        <v>40.1</v>
      </c>
      <c r="L15" s="38">
        <f>SUM(L8:L14)</f>
        <v>0.21</v>
      </c>
      <c r="M15" s="39">
        <f>K15/L15</f>
        <v>190.952380952381</v>
      </c>
    </row>
  </sheetData>
  <mergeCells count="20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A8:A10"/>
    <mergeCell ref="J8:J10"/>
    <mergeCell ref="K8:K10"/>
    <mergeCell ref="L8:L10"/>
    <mergeCell ref="M8:M10"/>
    <mergeCell ref="N8:N10"/>
    <mergeCell ref="J1:N6"/>
    <mergeCell ref="A2:E4"/>
    <mergeCell ref="F3:I4"/>
    <mergeCell ref="B8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2026-03-23T08:19:35Z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7AA81D63391F437788FA2DC30B90DA8D_13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