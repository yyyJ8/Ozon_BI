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BFC96A174A3C434FA1799B9910E7EA1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019800" y="4121150"/>
          <a:ext cx="3638550" cy="4010025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<sst xmlns="http://schemas.openxmlformats.org/spreadsheetml/2006/main" count="28" uniqueCount="28">
  <si>
    <t>入库清单</t>
  </si>
  <si>
    <t>箱单信息</t>
  </si>
  <si>
    <t>地址：（CZ3187）广东省东莞市凤岗镇五联村科研路9号
收件人：（CZ3187） 联系电话：18922869479</t>
  </si>
  <si>
    <t>客户代码:CZ3187</t>
  </si>
  <si>
    <t>运输方式:TIR卡航</t>
  </si>
  <si>
    <t>CZ3187-0623-9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</si>
  <si>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</si>
  <si>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</si>
  <si>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</si>
  <si>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</si>
  <si>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</si>
  <si>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</si>
  <si>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</si>
  <si>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</si>
  <si>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</si>
  <si>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42929-Y07U0001-C02
鹦鹉笼
申购：PR2606230162</t>
  </si>
  <si>
    <t>CZ3187-0623-9-3</t>
  </si>
  <si>
    <t>鹦鹉笼</t>
  </si>
  <si>
    <t>金属</t>
  </si>
  <si>
    <t>CZ3187-0623-9-4</t>
  </si>
  <si>
    <t>CZ3187-0623-9-5</t>
  </si>
  <si>
    <t>CZ3187-0623-9-6</t>
  </si>
  <si>
    <t>CZ3187-0623-9-7</t>
  </si>
  <si>
    <t>CZ3187-0623-9-8</t>
  </si>
  <si>
    <t>CZ3187-0623-9-9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</si>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</sst>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tabSelected="1" workbookViewId="0">
      <selection activeCell="E14" sqref="E8:G14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19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19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19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19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19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19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19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17.25" spans="1:19">
      <c r="A8" s="9">
        <v>2</v>
      </c>
      <c r="B8" s="10" t="s">
        <v>15</v>
      </c>
      <c r="C8" s="10"/>
      <c r="D8" s="10"/>
      <c r="E8" s="11" t="s">
        <v>16</v>
      </c>
      <c r="F8" s="12"/>
      <c r="G8" s="12"/>
      <c r="H8" s="13">
        <v>4</v>
      </c>
      <c r="I8" s="14" t="str">
        <f>_xlfn.DISPIMG("ID_BFC96A174A3C434FA1799B9910E7EA15",1)</f>
        <v>=DISPIMG("ID_BFC96A174A3C434FA1799B9910E7EA15",1)</v>
      </c>
      <c r="J8" s="14">
        <v>224</v>
      </c>
      <c r="K8" s="14">
        <v>0.77</v>
      </c>
      <c r="L8" s="14" t="s">
        <v>17</v>
      </c>
      <c r="M8" s="9" t="s">
        <v>18</v>
      </c>
    </row>
    <row r="9" ht="17.25" spans="1:19">
      <c r="A9" s="9"/>
      <c r="B9" s="10"/>
      <c r="C9" s="10"/>
      <c r="D9" s="10"/>
      <c r="E9" s="11" t="s">
        <v>19</v>
      </c>
      <c r="F9" s="12"/>
      <c r="G9" s="12"/>
      <c r="H9" s="13">
        <v>4</v>
      </c>
      <c r="I9" s="15"/>
      <c r="J9" s="15"/>
      <c r="K9" s="15"/>
      <c r="L9" s="15"/>
      <c r="M9" s="9"/>
    </row>
    <row r="10" ht="17.25" spans="1:19">
      <c r="A10" s="9"/>
      <c r="B10" s="10"/>
      <c r="C10" s="10"/>
      <c r="D10" s="10"/>
      <c r="E10" s="11" t="s">
        <v>20</v>
      </c>
      <c r="F10" s="12"/>
      <c r="G10" s="12"/>
      <c r="H10" s="13">
        <v>4</v>
      </c>
      <c r="I10" s="15"/>
      <c r="J10" s="15"/>
      <c r="K10" s="15"/>
      <c r="L10" s="15"/>
      <c r="M10" s="9"/>
    </row>
    <row r="11" ht="17.25" spans="1:19">
      <c r="A11" s="9"/>
      <c r="B11" s="10"/>
      <c r="C11" s="10"/>
      <c r="D11" s="10"/>
      <c r="E11" s="11" t="s">
        <v>21</v>
      </c>
      <c r="F11" s="12"/>
      <c r="G11" s="12"/>
      <c r="H11" s="13">
        <v>4</v>
      </c>
      <c r="I11" s="15"/>
      <c r="J11" s="15"/>
      <c r="K11" s="15"/>
      <c r="L11" s="15"/>
      <c r="M11" s="9"/>
    </row>
    <row r="12" ht="17.25" spans="1:19">
      <c r="A12" s="9"/>
      <c r="B12" s="10"/>
      <c r="C12" s="10"/>
      <c r="D12" s="10"/>
      <c r="E12" s="11" t="s">
        <v>22</v>
      </c>
      <c r="F12" s="12"/>
      <c r="G12" s="12"/>
      <c r="H12" s="13">
        <v>4</v>
      </c>
      <c r="I12" s="15"/>
      <c r="J12" s="15"/>
      <c r="K12" s="15"/>
      <c r="L12" s="15"/>
      <c r="M12" s="9"/>
    </row>
    <row r="13" ht="17.25" spans="1:19">
      <c r="A13" s="9"/>
      <c r="B13" s="10"/>
      <c r="C13" s="10"/>
      <c r="D13" s="10"/>
      <c r="E13" s="11" t="s">
        <v>23</v>
      </c>
      <c r="F13" s="12"/>
      <c r="G13" s="12"/>
      <c r="H13" s="13">
        <v>4</v>
      </c>
      <c r="I13" s="15"/>
      <c r="J13" s="15"/>
      <c r="K13" s="15"/>
      <c r="L13" s="15"/>
      <c r="M13" s="9"/>
    </row>
    <row r="14" ht="17.25" spans="1:19">
      <c r="A14" s="9"/>
      <c r="B14" s="10"/>
      <c r="C14" s="10"/>
      <c r="D14" s="10"/>
      <c r="E14" s="11" t="s">
        <v>24</v>
      </c>
      <c r="F14" s="12"/>
      <c r="G14" s="12"/>
      <c r="H14" s="13">
        <v>4</v>
      </c>
      <c r="I14" s="16"/>
      <c r="J14" s="16"/>
      <c r="K14" s="16"/>
      <c r="L14" s="16"/>
      <c r="M14" s="9"/>
    </row>
    <row r="15" spans="1:19">
      <c r="I15"/>
    </row>
    <row r="18" ht="17.25" spans="10:12">
      <c r="J18" s="17" t="s">
        <v>25</v>
      </c>
      <c r="K18" s="17" t="s">
        <v>26</v>
      </c>
      <c r="L18" s="17" t="s">
        <v>27</v>
      </c>
    </row>
    <row r="19" ht="17.25" spans="10:12">
      <c r="J19" s="17">
        <f>SUM(J8:J18)</f>
        <v>224</v>
      </c>
      <c r="K19" s="17">
        <f>SUM(K8:K18)</f>
        <v>0.77</v>
      </c>
      <c r="L19" s="18">
        <f>J19/K19</f>
        <v>290.909090909091</v>
      </c>
    </row>
  </sheetData>
  <mergeCells count="24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A8:A14"/>
    <mergeCell ref="I8:I14"/>
    <mergeCell ref="J8:J14"/>
    <mergeCell ref="K8:K14"/>
    <mergeCell ref="L8:L14"/>
    <mergeCell ref="M8:M14"/>
    <mergeCell ref="A2:E4"/>
    <mergeCell ref="I1:M6"/>
    <mergeCell ref="F3:H4"/>
    <mergeCell ref="B8:D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2026-06-29T07:48:25Z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