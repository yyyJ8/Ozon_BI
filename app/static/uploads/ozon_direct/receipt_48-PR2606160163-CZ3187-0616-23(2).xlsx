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CC7133CD9BBE45679F10C992F5C9755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05525" y="2422525"/>
          <a:ext cx="6448425" cy="64198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E1A6088737474C8780CFFDEC3120952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19800" y="4235450"/>
          <a:ext cx="7191375" cy="74199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<sst xmlns="http://schemas.openxmlformats.org/spreadsheetml/2006/main" count="37" uniqueCount="36">
  <si>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</si>
  <si>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</si>
  <si>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</si>
  <si>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</si>
  <si>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</si>
  <si>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CZ3187-0616-23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</si>
  <si>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</si>
  <si>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</si>
  <si>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</si>
  <si>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</si>
  <si>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</si>
  <si>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</si>
  <si>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</si>
  <si>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</si>
  <si>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</si>
  <si>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41090-Y07U0001-A01
双层桌夹置物架
申购：PR2606160163</t>
  </si>
  <si>
    <t>CZ3187-0616-23-11</t>
  </si>
  <si>
    <t>双层桌夹置物架</t>
  </si>
  <si>
    <t>金属</t>
  </si>
  <si>
    <t>CZ3187-0616-23-12</t>
  </si>
  <si>
    <t>CZ3187-0616-23-13</t>
  </si>
  <si>
    <t>CZ3187-0616-23-14</t>
  </si>
  <si>
    <t>CZ3187-0616-23-15</t>
  </si>
  <si>
    <t>CZ3187-0616-23-16</t>
  </si>
  <si>
    <t>CZ3187-0616-23-17</t>
  </si>
  <si>
    <t>28374-Y07U0009-B03
三层桌夹置物架
申购：PR2606160168</t>
  </si>
  <si>
    <t>CZ3187-0616-23-18</t>
  </si>
  <si>
    <t>三层桌夹置物架</t>
  </si>
  <si>
    <t>CZ3187-0616-23-19</t>
  </si>
  <si>
    <t>CZ3187-0616-23-20</t>
  </si>
  <si>
    <t>CZ3187-0616-23-21</t>
  </si>
  <si>
    <t>CZ3187-0616-23-22</t>
  </si>
  <si>
    <t>CZ3187-0616-23-23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</si>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</sst>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topLeftCell="A2" workbookViewId="0">
      <selection activeCell="N15" sqref="N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6</v>
      </c>
      <c r="I8" s="13" t="str">
        <f>_xlfn.DISPIMG("ID_CC7133CD9BBE45679F10C992F5C9755D",1)</f>
        <v>=DISPIMG("ID_CC7133CD9BBE45679F10C992F5C9755D",1)</v>
      </c>
      <c r="J8" s="14">
        <v>72.1</v>
      </c>
      <c r="K8" s="14">
        <v>0.4</v>
      </c>
      <c r="L8" s="14" t="s">
        <v>17</v>
      </c>
      <c r="M8" s="14" t="s">
        <v>18</v>
      </c>
      <c r="O8" s="6"/>
      <c r="P8" s="6"/>
      <c r="Q8" s="6"/>
    </row>
    <row r="9" ht="23" customHeight="1" spans="1:20">
      <c r="A9" s="15"/>
      <c r="B9" s="10"/>
      <c r="C9" s="10"/>
      <c r="D9" s="10"/>
      <c r="E9" s="11" t="s">
        <v>19</v>
      </c>
      <c r="F9" s="11"/>
      <c r="G9" s="11"/>
      <c r="H9" s="12">
        <v>6</v>
      </c>
      <c r="I9" s="13"/>
      <c r="J9" s="14"/>
      <c r="K9" s="14"/>
      <c r="L9" s="14"/>
      <c r="M9" s="14"/>
      <c r="O9" s="6"/>
      <c r="P9" s="6"/>
      <c r="Q9" s="6"/>
    </row>
    <row r="10" ht="23" customHeight="1" spans="1:20">
      <c r="A10" s="15"/>
      <c r="B10" s="10"/>
      <c r="C10" s="10"/>
      <c r="D10" s="10"/>
      <c r="E10" s="11" t="s">
        <v>20</v>
      </c>
      <c r="F10" s="11"/>
      <c r="G10" s="11"/>
      <c r="H10" s="12">
        <v>6</v>
      </c>
      <c r="I10" s="13"/>
      <c r="J10" s="14"/>
      <c r="K10" s="14"/>
      <c r="L10" s="14"/>
      <c r="M10" s="14"/>
      <c r="O10" s="6"/>
      <c r="P10" s="6"/>
      <c r="Q10" s="6"/>
    </row>
    <row r="11" ht="23" customHeight="1" spans="1:20">
      <c r="A11" s="15"/>
      <c r="B11" s="10"/>
      <c r="C11" s="10"/>
      <c r="D11" s="10"/>
      <c r="E11" s="11" t="s">
        <v>21</v>
      </c>
      <c r="F11" s="11"/>
      <c r="G11" s="11"/>
      <c r="H11" s="12">
        <v>6</v>
      </c>
      <c r="I11" s="13"/>
      <c r="J11" s="14"/>
      <c r="K11" s="14"/>
      <c r="L11" s="14"/>
      <c r="M11" s="14"/>
      <c r="P11" s="6"/>
      <c r="Q11" s="6"/>
      <c r="S11"/>
    </row>
    <row r="12" ht="23" customHeight="1" spans="1:20">
      <c r="A12" s="15"/>
      <c r="B12" s="10"/>
      <c r="C12" s="10"/>
      <c r="D12" s="10"/>
      <c r="E12" s="11" t="s">
        <v>22</v>
      </c>
      <c r="F12" s="11"/>
      <c r="G12" s="11"/>
      <c r="H12" s="12">
        <v>6</v>
      </c>
      <c r="I12" s="13"/>
      <c r="J12" s="14"/>
      <c r="K12" s="14"/>
      <c r="L12" s="14"/>
      <c r="M12" s="14"/>
      <c r="P12" s="6"/>
      <c r="Q12" s="6"/>
      <c r="T12"/>
    </row>
    <row r="13" ht="17.25" spans="1:20">
      <c r="A13" s="15"/>
      <c r="B13" s="10"/>
      <c r="C13" s="10"/>
      <c r="D13" s="10"/>
      <c r="E13" s="11" t="s">
        <v>23</v>
      </c>
      <c r="F13" s="11"/>
      <c r="G13" s="11"/>
      <c r="H13" s="12">
        <v>6</v>
      </c>
      <c r="I13" s="13"/>
      <c r="J13" s="14"/>
      <c r="K13" s="14"/>
      <c r="L13" s="14"/>
      <c r="M13" s="14"/>
      <c r="O13"/>
      <c r="P13" s="6"/>
      <c r="Q13" s="6"/>
    </row>
    <row r="14" ht="17.25" spans="1:20">
      <c r="A14" s="15"/>
      <c r="B14" s="10"/>
      <c r="C14" s="10"/>
      <c r="D14" s="10"/>
      <c r="E14" s="11" t="s">
        <v>24</v>
      </c>
      <c r="F14" s="11"/>
      <c r="G14" s="11"/>
      <c r="H14" s="12">
        <v>6</v>
      </c>
      <c r="I14" s="13"/>
      <c r="J14" s="14"/>
      <c r="K14" s="14"/>
      <c r="L14" s="14"/>
      <c r="M14" s="14"/>
      <c r="P14" s="6"/>
      <c r="Q14" s="6"/>
    </row>
    <row r="15" ht="17.25" spans="1:20">
      <c r="A15" s="16">
        <v>2</v>
      </c>
      <c r="B15" s="10" t="s">
        <v>25</v>
      </c>
      <c r="C15" s="10"/>
      <c r="D15" s="10"/>
      <c r="E15" s="11" t="s">
        <v>26</v>
      </c>
      <c r="F15" s="11"/>
      <c r="G15" s="11"/>
      <c r="H15" s="12">
        <v>6</v>
      </c>
      <c r="I15" s="16" t="str">
        <f>_xlfn.DISPIMG("ID_E1A6088737474C8780CFFDEC31209525",1)</f>
        <v>=DISPIMG("ID_E1A6088737474C8780CFFDEC31209525",1)</v>
      </c>
      <c r="J15" s="16">
        <v>79.8</v>
      </c>
      <c r="K15" s="16">
        <v>0.34</v>
      </c>
      <c r="L15" s="16" t="s">
        <v>27</v>
      </c>
      <c r="M15" s="14" t="s">
        <v>18</v>
      </c>
    </row>
    <row r="16" ht="17.25" spans="1:20">
      <c r="A16" s="16"/>
      <c r="B16" s="10"/>
      <c r="C16" s="10"/>
      <c r="D16" s="10"/>
      <c r="E16" s="11" t="s">
        <v>28</v>
      </c>
      <c r="F16" s="11"/>
      <c r="G16" s="11"/>
      <c r="H16" s="12">
        <v>6</v>
      </c>
      <c r="I16" s="16"/>
      <c r="J16" s="16"/>
      <c r="K16" s="16"/>
      <c r="L16" s="16"/>
      <c r="M16" s="14"/>
    </row>
    <row r="17" ht="17.25" spans="1:13">
      <c r="A17" s="16"/>
      <c r="B17" s="10"/>
      <c r="C17" s="10"/>
      <c r="D17" s="10"/>
      <c r="E17" s="11" t="s">
        <v>29</v>
      </c>
      <c r="F17" s="11"/>
      <c r="G17" s="11"/>
      <c r="H17" s="12">
        <v>6</v>
      </c>
      <c r="I17" s="16"/>
      <c r="J17" s="16"/>
      <c r="K17" s="16"/>
      <c r="L17" s="16"/>
      <c r="M17" s="14"/>
    </row>
    <row r="18" ht="17.25" spans="1:13">
      <c r="A18" s="16"/>
      <c r="B18" s="10"/>
      <c r="C18" s="10"/>
      <c r="D18" s="10"/>
      <c r="E18" s="11" t="s">
        <v>30</v>
      </c>
      <c r="F18" s="11"/>
      <c r="G18" s="11"/>
      <c r="H18" s="12">
        <v>6</v>
      </c>
      <c r="I18" s="16"/>
      <c r="J18" s="16"/>
      <c r="K18" s="16"/>
      <c r="L18" s="16"/>
      <c r="M18" s="14"/>
    </row>
    <row r="19" ht="17.25" spans="1:13">
      <c r="A19" s="16"/>
      <c r="B19" s="10"/>
      <c r="C19" s="10"/>
      <c r="D19" s="10"/>
      <c r="E19" s="11" t="s">
        <v>31</v>
      </c>
      <c r="F19" s="11"/>
      <c r="G19" s="11"/>
      <c r="H19" s="12">
        <v>6</v>
      </c>
      <c r="I19" s="16"/>
      <c r="J19" s="16"/>
      <c r="K19" s="16"/>
      <c r="L19" s="16"/>
      <c r="M19" s="14"/>
    </row>
    <row r="20" ht="17.25" spans="1:13">
      <c r="A20" s="16"/>
      <c r="B20" s="10"/>
      <c r="C20" s="10"/>
      <c r="D20" s="10"/>
      <c r="E20" s="11" t="s">
        <v>32</v>
      </c>
      <c r="F20" s="11"/>
      <c r="G20" s="11"/>
      <c r="H20" s="12">
        <v>6</v>
      </c>
      <c r="I20" s="16"/>
      <c r="J20" s="16"/>
      <c r="K20" s="16"/>
      <c r="L20" s="16"/>
      <c r="M20" s="14"/>
    </row>
    <row r="21" spans="1:13">
      <c r="I21"/>
    </row>
    <row r="22" spans="1:13">
      <c r="I22"/>
    </row>
    <row r="23" ht="17.25" spans="1:13">
      <c r="J23" s="17" t="s">
        <v>33</v>
      </c>
      <c r="K23" s="17" t="s">
        <v>34</v>
      </c>
      <c r="L23" s="17" t="s">
        <v>35</v>
      </c>
    </row>
    <row r="24" ht="17.25" spans="1:13">
      <c r="J24" s="17">
        <f>SUM(J8:J20)</f>
        <v>151.9</v>
      </c>
      <c r="K24" s="17">
        <f>SUM(K8:K20)</f>
        <v>0.74</v>
      </c>
      <c r="L24" s="18">
        <f>J24/K24</f>
        <v>205.27027027027</v>
      </c>
    </row>
  </sheetData>
  <mergeCells count="3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A8:A14"/>
    <mergeCell ref="A15:A20"/>
    <mergeCell ref="I8:I14"/>
    <mergeCell ref="I15:I20"/>
    <mergeCell ref="J8:J14"/>
    <mergeCell ref="J15:J20"/>
    <mergeCell ref="K8:K14"/>
    <mergeCell ref="K15:K20"/>
    <mergeCell ref="L8:L14"/>
    <mergeCell ref="L15:L20"/>
    <mergeCell ref="M8:M14"/>
    <mergeCell ref="M15:M20"/>
    <mergeCell ref="I1:M6"/>
    <mergeCell ref="A2:E4"/>
    <mergeCell ref="F3:H4"/>
    <mergeCell ref="B8:D14"/>
    <mergeCell ref="B15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2026-06-16T06:57:09Z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